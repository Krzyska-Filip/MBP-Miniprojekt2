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lip\AppData\Roaming\Microsoft\Excel\"/>
    </mc:Choice>
  </mc:AlternateContent>
  <xr:revisionPtr revIDLastSave="0" documentId="8_{7EF97691-BA1A-416E-A0B3-1682E1548483}" xr6:coauthVersionLast="47" xr6:coauthVersionMax="47" xr10:uidLastSave="{00000000-0000-0000-0000-000000000000}"/>
  <bookViews>
    <workbookView xWindow="-103" yWindow="-103" windowWidth="25440" windowHeight="15257" xr2:uid="{13E1F71E-91A8-47F0-BAD9-4B9BA0C951BD}"/>
  </bookViews>
  <sheets>
    <sheet name="Podsumowanie" sheetId="4" r:id="rId1"/>
    <sheet name="ARM" sheetId="1" r:id="rId2"/>
    <sheet name="Intel" sheetId="3" r:id="rId3"/>
    <sheet name="Slurm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4" l="1"/>
  <c r="H28" i="4"/>
  <c r="H27" i="4"/>
  <c r="C29" i="4"/>
  <c r="D29" i="4"/>
  <c r="E29" i="4"/>
  <c r="C28" i="4"/>
  <c r="D28" i="4"/>
  <c r="E28" i="4"/>
  <c r="C27" i="4"/>
  <c r="D27" i="4"/>
  <c r="E27" i="4"/>
  <c r="B29" i="4"/>
  <c r="B28" i="4"/>
  <c r="B27" i="4"/>
  <c r="H5" i="4"/>
  <c r="H4" i="4"/>
  <c r="H3" i="4"/>
  <c r="K3" i="4"/>
  <c r="J3" i="4"/>
  <c r="I3" i="4"/>
  <c r="C5" i="4"/>
  <c r="D5" i="4"/>
  <c r="E5" i="4"/>
  <c r="B5" i="4"/>
  <c r="C4" i="4"/>
  <c r="D4" i="4"/>
  <c r="E4" i="4"/>
  <c r="B4" i="4"/>
  <c r="E3" i="4"/>
  <c r="C3" i="4"/>
  <c r="D3" i="4"/>
  <c r="B3" i="4"/>
  <c r="C6" i="3"/>
  <c r="C7" i="3"/>
  <c r="C8" i="3"/>
  <c r="C5" i="3"/>
  <c r="H5" i="3"/>
  <c r="H6" i="3"/>
  <c r="H7" i="3"/>
  <c r="H8" i="3"/>
  <c r="H4" i="3"/>
  <c r="M4" i="3"/>
  <c r="M5" i="3"/>
  <c r="M6" i="3"/>
  <c r="M7" i="3"/>
  <c r="M8" i="3"/>
  <c r="R4" i="3"/>
  <c r="R5" i="3"/>
  <c r="R6" i="3"/>
  <c r="R7" i="3"/>
  <c r="R8" i="3"/>
</calcChain>
</file>

<file path=xl/sharedStrings.xml><?xml version="1.0" encoding="utf-8"?>
<sst xmlns="http://schemas.openxmlformats.org/spreadsheetml/2006/main" count="262" uniqueCount="81">
  <si>
    <t>Fence</t>
  </si>
  <si>
    <t>ARM</t>
  </si>
  <si>
    <t>Bez</t>
  </si>
  <si>
    <t>Load</t>
  </si>
  <si>
    <t>Store</t>
  </si>
  <si>
    <t>Slurm</t>
  </si>
  <si>
    <t>6578.378 ms</t>
  </si>
  <si>
    <t>6631.008 ms</t>
  </si>
  <si>
    <t>6765.917 ms</t>
  </si>
  <si>
    <t>6648.136 ms</t>
  </si>
  <si>
    <t>6745.471 ms</t>
  </si>
  <si>
    <t>[0][0]</t>
  </si>
  <si>
    <t>[1][0]</t>
  </si>
  <si>
    <t>[0][1]</t>
  </si>
  <si>
    <t>[1][1]</t>
  </si>
  <si>
    <t>czas</t>
  </si>
  <si>
    <t>108375.712 ms</t>
  </si>
  <si>
    <t>6688.217 ms</t>
  </si>
  <si>
    <t>6907.739 ms</t>
  </si>
  <si>
    <t>6724.110 ms</t>
  </si>
  <si>
    <t>6619.837 ms</t>
  </si>
  <si>
    <t>6615.369 ms</t>
  </si>
  <si>
    <t>77377.287</t>
  </si>
  <si>
    <t>80958.486</t>
  </si>
  <si>
    <t>6846.612</t>
  </si>
  <si>
    <t>6572.334</t>
  </si>
  <si>
    <t>79885.346</t>
  </si>
  <si>
    <t>83429.118</t>
  </si>
  <si>
    <t>6763.252</t>
  </si>
  <si>
    <t>7410.048</t>
  </si>
  <si>
    <t>95237.414</t>
  </si>
  <si>
    <t>7380.035</t>
  </si>
  <si>
    <t>6862.124</t>
  </si>
  <si>
    <t>101956.218 ms</t>
  </si>
  <si>
    <t>101217.687 ms</t>
  </si>
  <si>
    <t>6823.630</t>
  </si>
  <si>
    <t>6912.220</t>
  </si>
  <si>
    <t>85753.441 ms</t>
  </si>
  <si>
    <t>76155.983 ms</t>
  </si>
  <si>
    <t>6749.940</t>
  </si>
  <si>
    <t>6635.461</t>
  </si>
  <si>
    <t>101875.592</t>
  </si>
  <si>
    <t>102262.156</t>
  </si>
  <si>
    <t>101407.108</t>
  </si>
  <si>
    <t>99799.836</t>
  </si>
  <si>
    <t>94729.619</t>
  </si>
  <si>
    <t>84065.584</t>
  </si>
  <si>
    <t>Intel</t>
  </si>
  <si>
    <t>B</t>
  </si>
  <si>
    <t>F</t>
  </si>
  <si>
    <t>L</t>
  </si>
  <si>
    <t>S</t>
  </si>
  <si>
    <t>Kontrolna</t>
  </si>
  <si>
    <t>ARM C++</t>
  </si>
  <si>
    <t>ARM C#</t>
  </si>
  <si>
    <t>1204.90</t>
  </si>
  <si>
    <t>1194.86</t>
  </si>
  <si>
    <t>1200.94</t>
  </si>
  <si>
    <t>1181.35</t>
  </si>
  <si>
    <t>1194.77</t>
  </si>
  <si>
    <t>1135.79</t>
  </si>
  <si>
    <t>1113.30</t>
  </si>
  <si>
    <t>1122.52</t>
  </si>
  <si>
    <t>1127.84</t>
  </si>
  <si>
    <t>1127.38</t>
  </si>
  <si>
    <t>1042.11</t>
  </si>
  <si>
    <t>897.04</t>
  </si>
  <si>
    <t>900.58</t>
  </si>
  <si>
    <t>918.61</t>
  </si>
  <si>
    <t>883.67</t>
  </si>
  <si>
    <t>912.65</t>
  </si>
  <si>
    <t>974.53</t>
  </si>
  <si>
    <t>966.87</t>
  </si>
  <si>
    <t>967.48</t>
  </si>
  <si>
    <t>966.11</t>
  </si>
  <si>
    <t>Intel C#</t>
  </si>
  <si>
    <t>Slurm C#</t>
  </si>
  <si>
    <t>Średnie prędkości C++</t>
  </si>
  <si>
    <t>Prawdopodobieństwo błedu C++</t>
  </si>
  <si>
    <t>Średnie prędkości C#</t>
  </si>
  <si>
    <t>Prawdopodobieństwo błedu C#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</si>
</sst>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%"/>
    <numFmt numFmtId="166" formatCode="0.000&quot; ms&quot;"/>
  </numFmts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vertical="center" wrapText="1"/>
    </xf>
    <xf numFmtId="164" fontId="0" fillId="0" borderId="0" xfId="0" applyNumberFormat="1"/>
    <xf numFmtId="0" fontId="0" fillId="0" borderId="1" xfId="0" applyBorder="1" applyAlignment="1">
      <alignment vertical="center" wrapText="1"/>
    </xf>
    <xf numFmtId="0" fontId="0" fillId="0" borderId="1" xfId="0" applyBorder="1"/>
    <xf numFmtId="9" fontId="0" fillId="0" borderId="1" xfId="1" applyFont="1" applyBorder="1"/>
    <xf numFmtId="165" fontId="0" fillId="0" borderId="1" xfId="1" applyNumberFormat="1" applyFont="1" applyBorder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1" xfId="0" applyNumberFormat="1" applyBorder="1"/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vertical="center" wrapText="1"/>
    </xf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 wykonania miliona razy C++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Kontrolna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Podsumowanie!$A$3:$A$5</c:f>
              <c:strCache>
                <c:ptCount val="3"/>
                <c:pt idx="0">
                  <c:v>ARM</c:v>
                </c:pt>
                <c:pt idx="1">
                  <c:v>Intel</c:v>
                </c:pt>
                <c:pt idx="2">
                  <c:v>Slurm</c:v>
                </c:pt>
              </c:strCache>
            </c:strRef>
          </c:cat>
          <c:val>
            <c:numRef>
              <c:f>Podsumowanie!$B$3:$B$5</c:f>
              <c:numCache>
                <c:formatCode>0.000" ms"</c:formatCode>
                <c:ptCount val="3"/>
                <c:pt idx="0">
                  <c:v>6.5659999999999998</c:v>
                </c:pt>
                <c:pt idx="1">
                  <c:v>11.997999999999999</c:v>
                </c:pt>
                <c:pt idx="2">
                  <c:v>4.6900000000000004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07-4EC3-B2EE-FD7C6952792F}"/>
            </c:ext>
          </c:extLst>
        </c:ser>
        <c:ser>
          <c:idx val="1"/>
          <c:order val="1"/>
          <c:tx>
            <c:v>Fence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Podsumowanie!$C$3:$C$5</c:f>
              <c:numCache>
                <c:formatCode>0.000" ms"</c:formatCode>
                <c:ptCount val="3"/>
                <c:pt idx="0">
                  <c:v>20.954000000000001</c:v>
                </c:pt>
                <c:pt idx="1">
                  <c:v>68.695999999999998</c:v>
                </c:pt>
                <c:pt idx="2">
                  <c:v>35.508000000000003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907-4EC3-B2EE-FD7C6952792F}"/>
            </c:ext>
          </c:extLst>
        </c:ser>
        <c:ser>
          <c:idx val="2"/>
          <c:order val="2"/>
          <c:tx>
            <c:v>Load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Podsumowanie!$D$3:$D$5</c:f>
              <c:numCache>
                <c:formatCode>0.000" ms"</c:formatCode>
                <c:ptCount val="3"/>
                <c:pt idx="0">
                  <c:v>38.212000000000003</c:v>
                </c:pt>
                <c:pt idx="1">
                  <c:v>73.556000000000012</c:v>
                </c:pt>
                <c:pt idx="2">
                  <c:v>36.217999999999996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07-4EC3-B2EE-FD7C6952792F}"/>
            </c:ext>
          </c:extLst>
        </c:ser>
        <c:ser>
          <c:idx val="3"/>
          <c:order val="3"/>
          <c:tx>
            <c:v>Store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Podsumowanie!$E$3:$E$5</c:f>
              <c:numCache>
                <c:formatCode>0.000" ms"</c:formatCode>
                <c:ptCount val="3"/>
                <c:pt idx="0">
                  <c:v>47.341999999999999</c:v>
                </c:pt>
                <c:pt idx="1">
                  <c:v>92.974000000000004</c:v>
                </c:pt>
                <c:pt idx="2">
                  <c:v>33.495999999999995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907-4EC3-B2EE-FD7C69527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4130976"/>
        <c:axId val="1844138656"/>
      </c:barChart>
      <c:catAx>
        <c:axId val="184413097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4138656"/>
        <c:crosses val="autoZero"/>
        <c:auto val="1"/>
        <c:lblAlgn val="ctr"/>
        <c:lblOffset val="100"/>
        <c:noMultiLvlLbl val="0"/>
      </c:catAx>
      <c:valAx>
        <c:axId val="184413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wykonania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&quot; ms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413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188750241719047"/>
          <c:y val="0.4074671251613875"/>
          <c:w val="0.13220678795457869"/>
          <c:h val="0.296765460861678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Prawdopodobieństwo błedu C++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Kontrolna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Podsumowanie!$A$3:$A$5</c:f>
              <c:strCache>
                <c:ptCount val="3"/>
                <c:pt idx="0">
                  <c:v>ARM</c:v>
                </c:pt>
                <c:pt idx="1">
                  <c:v>Intel</c:v>
                </c:pt>
                <c:pt idx="2">
                  <c:v>Slurm</c:v>
                </c:pt>
              </c:strCache>
            </c:strRef>
          </c:cat>
          <c:val>
            <c:numRef>
              <c:f>Podsumowanie!$H$3:$H$5</c:f>
              <c:numCache>
                <c:formatCode>0.00000%</c:formatCode>
                <c:ptCount val="3"/>
                <c:pt idx="0">
                  <c:v>8.599999999999999E-6</c:v>
                </c:pt>
                <c:pt idx="1">
                  <c:v>8.0599999999999994E-5</c:v>
                </c:pt>
                <c:pt idx="2">
                  <c:v>2.16E-5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CD-4449-A38C-B078E2EBA2E9}"/>
            </c:ext>
          </c:extLst>
        </c:ser>
        <c:ser>
          <c:idx val="1"/>
          <c:order val="1"/>
          <c:tx>
            <c:v>Fence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62CD-4449-A38C-B078E2EBA2E9}"/>
            </c:ext>
          </c:extLst>
        </c:ser>
        <c:ser>
          <c:idx val="2"/>
          <c:order val="2"/>
          <c:tx>
            <c:v>Load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62CD-4449-A38C-B078E2EBA2E9}"/>
            </c:ext>
          </c:extLst>
        </c:ser>
        <c:ser>
          <c:idx val="3"/>
          <c:order val="3"/>
          <c:tx>
            <c:v>Store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62CD-4449-A38C-B078E2EBA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4130976"/>
        <c:axId val="1844138656"/>
      </c:barChart>
      <c:catAx>
        <c:axId val="184413097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4138656"/>
        <c:crosses val="autoZero"/>
        <c:auto val="1"/>
        <c:lblAlgn val="ctr"/>
        <c:lblOffset val="100"/>
        <c:noMultiLvlLbl val="0"/>
      </c:catAx>
      <c:valAx>
        <c:axId val="184413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Prawdopodobieństwo błedu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413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188750241719047"/>
          <c:y val="0.4074671251613875"/>
          <c:w val="0.13202110589712646"/>
          <c:h val="0.301162061117992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 wykonania miliona razy C#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Kontrolna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Podsumowanie!$B$27:$B$29</c:f>
              <c:numCache>
                <c:formatCode>0.000" ms"</c:formatCode>
                <c:ptCount val="3"/>
                <c:pt idx="0">
                  <c:v>6.4380000000000006</c:v>
                </c:pt>
                <c:pt idx="1">
                  <c:v>27.437999999999999</c:v>
                </c:pt>
                <c:pt idx="2">
                  <c:v>4.1739999999999995</c:v>
                </c:pt>
              </c:numCache>
            </c:numRef>
          </c:cat>
          <c:val>
            <c:numRef>
              <c:f>Podsumowanie!$B$3:$B$5</c:f>
              <c:numCache>
                <c:formatCode>0.000" ms"</c:formatCode>
                <c:ptCount val="3"/>
                <c:pt idx="0">
                  <c:v>6.5659999999999998</c:v>
                </c:pt>
                <c:pt idx="1">
                  <c:v>11.997999999999999</c:v>
                </c:pt>
                <c:pt idx="2">
                  <c:v>4.6900000000000004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A-4949-8999-CB7ECEB28865}"/>
            </c:ext>
          </c:extLst>
        </c:ser>
        <c:ser>
          <c:idx val="1"/>
          <c:order val="1"/>
          <c:tx>
            <c:v>Fence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Podsumowanie!$B$27:$B$29</c:f>
              <c:numCache>
                <c:formatCode>0.000" ms"</c:formatCode>
                <c:ptCount val="3"/>
                <c:pt idx="0">
                  <c:v>6.4380000000000006</c:v>
                </c:pt>
                <c:pt idx="1">
                  <c:v>27.437999999999999</c:v>
                </c:pt>
                <c:pt idx="2">
                  <c:v>4.1739999999999995</c:v>
                </c:pt>
              </c:numCache>
            </c:numRef>
          </c:cat>
          <c:val>
            <c:numRef>
              <c:f>Podsumowanie!$C$27:$C$29</c:f>
              <c:numCache>
                <c:formatCode>0.000" ms"</c:formatCode>
                <c:ptCount val="3"/>
                <c:pt idx="0">
                  <c:v>22.701999999999998</c:v>
                </c:pt>
                <c:pt idx="1">
                  <c:v>72.191999999999993</c:v>
                </c:pt>
                <c:pt idx="2">
                  <c:v>47.766000000000005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8A-4949-8999-CB7ECEB28865}"/>
            </c:ext>
          </c:extLst>
        </c:ser>
        <c:ser>
          <c:idx val="2"/>
          <c:order val="2"/>
          <c:tx>
            <c:v>Load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Podsumowanie!$B$27:$B$29</c:f>
              <c:numCache>
                <c:formatCode>0.000" ms"</c:formatCode>
                <c:ptCount val="3"/>
                <c:pt idx="0">
                  <c:v>6.4380000000000006</c:v>
                </c:pt>
                <c:pt idx="1">
                  <c:v>27.437999999999999</c:v>
                </c:pt>
                <c:pt idx="2">
                  <c:v>4.1739999999999995</c:v>
                </c:pt>
              </c:numCache>
            </c:numRef>
          </c:cat>
          <c:val>
            <c:numRef>
              <c:f>Podsumowanie!$D$27:$D$29</c:f>
              <c:numCache>
                <c:formatCode>0.000" ms"</c:formatCode>
                <c:ptCount val="3"/>
                <c:pt idx="0">
                  <c:v>56.073999999999998</c:v>
                </c:pt>
                <c:pt idx="1">
                  <c:v>109.232</c:v>
                </c:pt>
                <c:pt idx="2">
                  <c:v>52.661999999999999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8A-4949-8999-CB7ECEB28865}"/>
            </c:ext>
          </c:extLst>
        </c:ser>
        <c:ser>
          <c:idx val="3"/>
          <c:order val="3"/>
          <c:tx>
            <c:v>Store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Podsumowanie!$B$27:$B$29</c:f>
              <c:numCache>
                <c:formatCode>0.000" ms"</c:formatCode>
                <c:ptCount val="3"/>
                <c:pt idx="0">
                  <c:v>6.4380000000000006</c:v>
                </c:pt>
                <c:pt idx="1">
                  <c:v>27.437999999999999</c:v>
                </c:pt>
                <c:pt idx="2">
                  <c:v>4.1739999999999995</c:v>
                </c:pt>
              </c:numCache>
            </c:numRef>
          </c:cat>
          <c:val>
            <c:numRef>
              <c:f>Podsumowanie!$E$27:$E$29</c:f>
              <c:numCache>
                <c:formatCode>0.000" ms"</c:formatCode>
                <c:ptCount val="3"/>
                <c:pt idx="0">
                  <c:v>44.61</c:v>
                </c:pt>
                <c:pt idx="1">
                  <c:v>71.224000000000004</c:v>
                </c:pt>
                <c:pt idx="2">
                  <c:v>75.320000000000007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8A-4949-8999-CB7ECEB28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4130976"/>
        <c:axId val="1844138656"/>
      </c:barChart>
      <c:catAx>
        <c:axId val="184413097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0&quot; ms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4138656"/>
        <c:crosses val="autoZero"/>
        <c:auto val="1"/>
        <c:lblAlgn val="ctr"/>
        <c:lblOffset val="100"/>
        <c:noMultiLvlLbl val="0"/>
      </c:catAx>
      <c:valAx>
        <c:axId val="184413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wykonania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&quot; ms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413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188750241719047"/>
          <c:y val="0.4074671251613875"/>
          <c:w val="0.13220678795457869"/>
          <c:h val="0.296765460861678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Prawdopodobieństwo błedu C#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Kontrolna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Podsumowanie!$A$3:$A$5</c:f>
              <c:strCache>
                <c:ptCount val="3"/>
                <c:pt idx="0">
                  <c:v>ARM</c:v>
                </c:pt>
                <c:pt idx="1">
                  <c:v>Intel</c:v>
                </c:pt>
                <c:pt idx="2">
                  <c:v>Slurm</c:v>
                </c:pt>
              </c:strCache>
            </c:strRef>
          </c:cat>
          <c:val>
            <c:numRef>
              <c:f>Podsumowanie!$H$27:$H$29</c:f>
              <c:numCache>
                <c:formatCode>0.00000%</c:formatCode>
                <c:ptCount val="3"/>
                <c:pt idx="0">
                  <c:v>0.29649779999999998</c:v>
                </c:pt>
                <c:pt idx="1">
                  <c:v>6.3508000000000002E-3</c:v>
                </c:pt>
                <c:pt idx="2">
                  <c:v>5.9569800000000006E-2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E-45FA-A2D8-5C7AA43065E7}"/>
            </c:ext>
          </c:extLst>
        </c:ser>
        <c:ser>
          <c:idx val="1"/>
          <c:order val="1"/>
          <c:tx>
            <c:v>Fence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13E-45FA-A2D8-5C7AA43065E7}"/>
            </c:ext>
          </c:extLst>
        </c:ser>
        <c:ser>
          <c:idx val="2"/>
          <c:order val="2"/>
          <c:tx>
            <c:v>Load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D13E-45FA-A2D8-5C7AA43065E7}"/>
            </c:ext>
          </c:extLst>
        </c:ser>
        <c:ser>
          <c:idx val="3"/>
          <c:order val="3"/>
          <c:tx>
            <c:v>Store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D13E-45FA-A2D8-5C7AA4306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4130976"/>
        <c:axId val="1844138656"/>
      </c:barChart>
      <c:catAx>
        <c:axId val="184413097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4138656"/>
        <c:crosses val="autoZero"/>
        <c:auto val="1"/>
        <c:lblAlgn val="ctr"/>
        <c:lblOffset val="100"/>
        <c:noMultiLvlLbl val="0"/>
      </c:catAx>
      <c:valAx>
        <c:axId val="184413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Prawdopodobieństwo błedu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413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188750241719047"/>
          <c:y val="0.4074671251613875"/>
          <c:w val="0.13202110589712646"/>
          <c:h val="0.301162061117992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169201</xdr:colOff>
      <xdr:row>6</xdr:row>
      <xdr:rowOff>157725</xdr:rowOff>
    </xdr:from>
    <xdr:to>
      <xdr:col>7</xdr:col>
      <xdr:colOff>485124</xdr:colOff>
      <xdr:row>22</xdr:row>
      <xdr:rowOff>65077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760EDE8-057C-7376-A947-343BF304B9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6803</xdr:colOff>
      <xdr:row>7</xdr:row>
      <xdr:rowOff>13607</xdr:rowOff>
    </xdr:from>
    <xdr:to>
      <xdr:col>15</xdr:col>
      <xdr:colOff>322726</xdr:colOff>
      <xdr:row>22</xdr:row>
      <xdr:rowOff>104655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6AC134AD-3D05-4DE3-A719-253F08196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195233</xdr:colOff>
      <xdr:row>30</xdr:row>
      <xdr:rowOff>23666</xdr:rowOff>
    </xdr:from>
    <xdr:to>
      <xdr:col>7</xdr:col>
      <xdr:colOff>511156</xdr:colOff>
      <xdr:row>45</xdr:row>
      <xdr:rowOff>114419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1D08AA8C-B3D3-440E-BFF1-C68289AF9F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195232</xdr:colOff>
      <xdr:row>30</xdr:row>
      <xdr:rowOff>11833</xdr:rowOff>
    </xdr:from>
    <xdr:to>
      <xdr:col>15</xdr:col>
      <xdr:colOff>511155</xdr:colOff>
      <xdr:row>45</xdr:row>
      <xdr:rowOff>102881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B18D086A-871A-40B4-821E-51934FB525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E5829-C0C4-4758-9182-2BDAF7A6E2BE}">
  <dimension ref="A1:K29"/>
  <sheetViews>
    <sheetView tabSelected="1" zoomScale="92" workbookViewId="0">
      <selection activeCell="R23" sqref="R23"/>
    </sheetView>
  </sheetViews>
  <sheetFormatPr defaultRowHeight="14.6" x14ac:dyDescent="0.4"/>
  <cols>
    <col min="4" max="4" width="10.23046875" bestFit="1" customWidth="1"/>
    <col min="8" max="8" width="10.921875" bestFit="1" customWidth="1"/>
  </cols>
  <sheetData>
    <row r="1" spans="1:11" x14ac:dyDescent="0.4">
      <c r="A1" s="8" t="s">
        <v>77</v>
      </c>
      <c r="B1" s="8"/>
      <c r="C1" s="8"/>
      <c r="D1" s="8"/>
      <c r="E1" s="8"/>
      <c r="G1" s="9" t="s">
        <v>78</v>
      </c>
      <c r="H1" s="10"/>
      <c r="I1" s="10"/>
      <c r="J1" s="10"/>
      <c r="K1" s="11"/>
    </row>
    <row r="2" spans="1:11" x14ac:dyDescent="0.4">
      <c r="A2" s="4"/>
      <c r="B2" s="3" t="s">
        <v>52</v>
      </c>
      <c r="C2" s="3" t="s">
        <v>0</v>
      </c>
      <c r="D2" s="3" t="s">
        <v>3</v>
      </c>
      <c r="E2" s="3" t="s">
        <v>4</v>
      </c>
      <c r="G2" s="4"/>
      <c r="H2" s="3" t="s">
        <v>52</v>
      </c>
      <c r="I2" s="3" t="s">
        <v>0</v>
      </c>
      <c r="J2" s="3" t="s">
        <v>3</v>
      </c>
      <c r="K2" s="3" t="s">
        <v>4</v>
      </c>
    </row>
    <row r="3" spans="1:11" x14ac:dyDescent="0.4">
      <c r="A3" s="4" t="s">
        <v>1</v>
      </c>
      <c r="B3" s="7">
        <f>AVERAGE(ARM!A11:A15)</f>
        <v>6.5659999999999998</v>
      </c>
      <c r="C3" s="7">
        <f>AVERAGE(ARM!B11:B15)</f>
        <v>20.954000000000001</v>
      </c>
      <c r="D3" s="7">
        <f>AVERAGE(ARM!C11:C15)</f>
        <v>38.212000000000003</v>
      </c>
      <c r="E3" s="7">
        <f>AVERAGE(ARM!D11:D15)</f>
        <v>47.341999999999999</v>
      </c>
      <c r="G3" s="4" t="s">
        <v>1</v>
      </c>
      <c r="H3" s="6">
        <f>AVERAGE(ARM!$A$4:$A$8)/1000000</f>
        <v>8.599999999999999E-6</v>
      </c>
      <c r="I3" s="5">
        <f>AVERAGE(ARM!F4:F8)</f>
        <v>0</v>
      </c>
      <c r="J3" s="5">
        <f>AVERAGE(ARM!K4:K8)</f>
        <v>0</v>
      </c>
      <c r="K3" s="5">
        <f>AVERAGE(ARM!P4:P8)</f>
        <v>0</v>
      </c>
    </row>
    <row r="4" spans="1:11" x14ac:dyDescent="0.4">
      <c r="A4" s="4" t="s">
        <v>47</v>
      </c>
      <c r="B4" s="7">
        <f>AVERAGE(Intel!A11:A15)</f>
        <v>11.997999999999999</v>
      </c>
      <c r="C4" s="7">
        <f>AVERAGE(Intel!B11:B15)</f>
        <v>68.695999999999998</v>
      </c>
      <c r="D4" s="7">
        <f>AVERAGE(Intel!C11:C15)</f>
        <v>73.556000000000012</v>
      </c>
      <c r="E4" s="7">
        <f>AVERAGE(Intel!D11:D15)</f>
        <v>92.974000000000004</v>
      </c>
      <c r="G4" s="4" t="s">
        <v>47</v>
      </c>
      <c r="H4" s="6">
        <f>AVERAGE(Intel!$A$4:$A$8)/1000000</f>
        <v>8.0599999999999994E-5</v>
      </c>
      <c r="I4" s="5">
        <v>0</v>
      </c>
      <c r="J4" s="5">
        <v>0</v>
      </c>
      <c r="K4" s="5">
        <v>0</v>
      </c>
    </row>
    <row r="5" spans="1:11" x14ac:dyDescent="0.4">
      <c r="A5" s="4" t="s">
        <v>5</v>
      </c>
      <c r="B5" s="7">
        <f>AVERAGE(Slurm!A11:A15)</f>
        <v>4.6900000000000004</v>
      </c>
      <c r="C5" s="7">
        <f>AVERAGE(Slurm!B11:B15)</f>
        <v>35.508000000000003</v>
      </c>
      <c r="D5" s="7">
        <f>AVERAGE(Slurm!C11:C15)</f>
        <v>36.217999999999996</v>
      </c>
      <c r="E5" s="7">
        <f>AVERAGE(Slurm!D11:D15)</f>
        <v>33.495999999999995</v>
      </c>
      <c r="G5" s="4" t="s">
        <v>5</v>
      </c>
      <c r="H5" s="6">
        <f>AVERAGE(Slurm!$A$4:$A$8)/1000000</f>
        <v>2.16E-5</v>
      </c>
      <c r="I5" s="5">
        <v>0</v>
      </c>
      <c r="J5" s="5">
        <v>0</v>
      </c>
      <c r="K5" s="5">
        <v>0</v>
      </c>
    </row>
    <row r="25" spans="1:11" x14ac:dyDescent="0.4">
      <c r="A25" s="8" t="s">
        <v>79</v>
      </c>
      <c r="B25" s="8"/>
      <c r="C25" s="8"/>
      <c r="D25" s="8"/>
      <c r="E25" s="8"/>
      <c r="G25" s="9" t="s">
        <v>80</v>
      </c>
      <c r="H25" s="10"/>
      <c r="I25" s="10"/>
      <c r="J25" s="10"/>
      <c r="K25" s="11"/>
    </row>
    <row r="26" spans="1:11" x14ac:dyDescent="0.4">
      <c r="A26" s="4"/>
      <c r="B26" s="3" t="s">
        <v>52</v>
      </c>
      <c r="C26" s="3" t="s">
        <v>0</v>
      </c>
      <c r="D26" s="3" t="s">
        <v>3</v>
      </c>
      <c r="E26" s="3" t="s">
        <v>4</v>
      </c>
      <c r="G26" s="4"/>
      <c r="H26" s="3" t="s">
        <v>52</v>
      </c>
      <c r="I26" s="3" t="s">
        <v>0</v>
      </c>
      <c r="J26" s="3" t="s">
        <v>3</v>
      </c>
      <c r="K26" s="3" t="s">
        <v>4</v>
      </c>
    </row>
    <row r="27" spans="1:11" x14ac:dyDescent="0.4">
      <c r="A27" s="4" t="s">
        <v>1</v>
      </c>
      <c r="B27" s="7">
        <f>AVERAGE(ARM!A$27:A$31)</f>
        <v>6.4380000000000006</v>
      </c>
      <c r="C27" s="7">
        <f>AVERAGE(ARM!B$27:B$31)</f>
        <v>22.701999999999998</v>
      </c>
      <c r="D27" s="7">
        <f>AVERAGE(ARM!C$27:C$31)</f>
        <v>56.073999999999998</v>
      </c>
      <c r="E27" s="7">
        <f>AVERAGE(ARM!D$27:D$31)</f>
        <v>44.61</v>
      </c>
      <c r="G27" s="4" t="s">
        <v>1</v>
      </c>
      <c r="H27" s="6">
        <f>AVERAGE(ARM!$A$20:$A$24)/1000000</f>
        <v>0.29649779999999998</v>
      </c>
      <c r="I27" s="5">
        <v>0</v>
      </c>
      <c r="J27" s="5">
        <v>0</v>
      </c>
      <c r="K27" s="5">
        <v>0</v>
      </c>
    </row>
    <row r="28" spans="1:11" x14ac:dyDescent="0.4">
      <c r="A28" s="4" t="s">
        <v>47</v>
      </c>
      <c r="B28" s="7">
        <f>AVERAGE(Intel!A$27:A$31)</f>
        <v>27.437999999999999</v>
      </c>
      <c r="C28" s="7">
        <f>AVERAGE(Intel!B$27:B$31)</f>
        <v>72.191999999999993</v>
      </c>
      <c r="D28" s="7">
        <f>AVERAGE(Intel!C$27:C$31)</f>
        <v>109.232</v>
      </c>
      <c r="E28" s="7">
        <f>AVERAGE(Intel!D$27:D$31)</f>
        <v>71.224000000000004</v>
      </c>
      <c r="G28" s="4" t="s">
        <v>47</v>
      </c>
      <c r="H28" s="6">
        <f>AVERAGE(Intel!$A$20:$A$24)/1000000</f>
        <v>6.3508000000000002E-3</v>
      </c>
      <c r="I28" s="5">
        <v>0</v>
      </c>
      <c r="J28" s="5">
        <v>0</v>
      </c>
      <c r="K28" s="5">
        <v>0</v>
      </c>
    </row>
    <row r="29" spans="1:11" x14ac:dyDescent="0.4">
      <c r="A29" s="4" t="s">
        <v>5</v>
      </c>
      <c r="B29" s="7">
        <f>AVERAGE(Slurm!A$27:A$31)</f>
        <v>4.1739999999999995</v>
      </c>
      <c r="C29" s="7">
        <f>AVERAGE(Slurm!B$27:B$31)</f>
        <v>47.766000000000005</v>
      </c>
      <c r="D29" s="7">
        <f>AVERAGE(Slurm!C$27:C$31)</f>
        <v>52.661999999999999</v>
      </c>
      <c r="E29" s="7">
        <f>AVERAGE(Slurm!D$27:D$31)</f>
        <v>75.320000000000007</v>
      </c>
      <c r="G29" s="4" t="s">
        <v>5</v>
      </c>
      <c r="H29" s="6">
        <f>AVERAGE(Slurm!$A$20:$A$24)/1000000</f>
        <v>5.9569800000000006E-2</v>
      </c>
      <c r="I29" s="5">
        <v>0</v>
      </c>
      <c r="J29" s="5">
        <v>0</v>
      </c>
      <c r="K29" s="5">
        <v>0</v>
      </c>
    </row>
  </sheetData>
  <mergeCells count="4">
    <mergeCell ref="A1:E1"/>
    <mergeCell ref="G1:K1"/>
    <mergeCell ref="A25:E25"/>
    <mergeCell ref="G25:K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E7C8-B562-47C0-B273-782ED509C1EF}">
  <dimension ref="A1:T31"/>
  <sheetViews>
    <sheetView zoomScale="88" workbookViewId="0">
      <selection activeCell="A24" sqref="A24"/>
    </sheetView>
  </sheetViews>
  <sheetFormatPr defaultRowHeight="14.6" x14ac:dyDescent="0.4"/>
  <cols>
    <col min="5" max="5" width="13.3046875" bestFit="1" customWidth="1"/>
    <col min="10" max="10" width="11" customWidth="1"/>
    <col min="15" max="15" width="10.4609375" bestFit="1" customWidth="1"/>
  </cols>
  <sheetData>
    <row r="1" spans="1:20" x14ac:dyDescent="0.4">
      <c r="A1" s="16" t="s">
        <v>53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x14ac:dyDescent="0.4">
      <c r="A2" s="17" t="s">
        <v>2</v>
      </c>
      <c r="B2" s="17"/>
      <c r="C2" s="17"/>
      <c r="D2" s="17"/>
      <c r="E2" s="17"/>
      <c r="F2" s="17" t="s">
        <v>0</v>
      </c>
      <c r="G2" s="17"/>
      <c r="H2" s="17"/>
      <c r="I2" s="17"/>
      <c r="J2" s="17"/>
      <c r="K2" s="17" t="s">
        <v>3</v>
      </c>
      <c r="L2" s="17"/>
      <c r="M2" s="17"/>
      <c r="N2" s="17"/>
      <c r="O2" s="17"/>
      <c r="P2" s="17" t="s">
        <v>4</v>
      </c>
      <c r="Q2" s="17"/>
      <c r="R2" s="17"/>
      <c r="S2" s="17"/>
      <c r="T2" s="17"/>
    </row>
    <row r="3" spans="1:20" x14ac:dyDescent="0.4">
      <c r="A3" s="18" t="s">
        <v>11</v>
      </c>
      <c r="B3" s="18" t="s">
        <v>12</v>
      </c>
      <c r="C3" s="18" t="s">
        <v>13</v>
      </c>
      <c r="D3" s="18" t="s">
        <v>14</v>
      </c>
      <c r="E3" s="18" t="s">
        <v>15</v>
      </c>
      <c r="F3" s="18" t="s">
        <v>11</v>
      </c>
      <c r="G3" s="18" t="s">
        <v>12</v>
      </c>
      <c r="H3" s="18" t="s">
        <v>13</v>
      </c>
      <c r="I3" s="18" t="s">
        <v>14</v>
      </c>
      <c r="J3" s="18" t="s">
        <v>15</v>
      </c>
      <c r="K3" s="18" t="s">
        <v>11</v>
      </c>
      <c r="L3" s="18" t="s">
        <v>12</v>
      </c>
      <c r="M3" s="18" t="s">
        <v>13</v>
      </c>
      <c r="N3" s="18" t="s">
        <v>14</v>
      </c>
      <c r="O3" s="18" t="s">
        <v>15</v>
      </c>
      <c r="P3" s="18" t="s">
        <v>11</v>
      </c>
      <c r="Q3" s="18" t="s">
        <v>12</v>
      </c>
      <c r="R3" s="18" t="s">
        <v>13</v>
      </c>
      <c r="S3" s="18" t="s">
        <v>14</v>
      </c>
      <c r="T3" s="18" t="s">
        <v>15</v>
      </c>
    </row>
    <row r="4" spans="1:20" x14ac:dyDescent="0.4">
      <c r="A4" s="3">
        <v>7</v>
      </c>
      <c r="B4" s="3">
        <v>547577</v>
      </c>
      <c r="C4" s="3">
        <v>452416</v>
      </c>
      <c r="D4" s="3">
        <v>0</v>
      </c>
      <c r="E4" s="4" t="s">
        <v>33</v>
      </c>
      <c r="F4" s="3">
        <v>0</v>
      </c>
      <c r="G4" s="3">
        <v>495235</v>
      </c>
      <c r="H4" s="3">
        <v>504765</v>
      </c>
      <c r="I4" s="3">
        <v>0</v>
      </c>
      <c r="J4" s="4" t="s">
        <v>22</v>
      </c>
      <c r="K4" s="3">
        <v>0</v>
      </c>
      <c r="L4" s="3">
        <v>518955</v>
      </c>
      <c r="M4" s="3">
        <v>481043</v>
      </c>
      <c r="N4" s="3">
        <v>2</v>
      </c>
      <c r="O4" s="4" t="s">
        <v>41</v>
      </c>
      <c r="P4" s="3">
        <v>0</v>
      </c>
      <c r="Q4" s="3">
        <v>541698</v>
      </c>
      <c r="R4" s="3">
        <v>458287</v>
      </c>
      <c r="S4" s="3">
        <v>15</v>
      </c>
      <c r="T4" s="4" t="s">
        <v>46</v>
      </c>
    </row>
    <row r="5" spans="1:20" x14ac:dyDescent="0.4">
      <c r="A5" s="3">
        <v>6</v>
      </c>
      <c r="B5" s="3">
        <v>529291</v>
      </c>
      <c r="C5" s="3">
        <v>470703</v>
      </c>
      <c r="D5" s="3">
        <v>0</v>
      </c>
      <c r="E5" s="4" t="s">
        <v>34</v>
      </c>
      <c r="F5" s="3">
        <v>0</v>
      </c>
      <c r="G5" s="3">
        <v>502393</v>
      </c>
      <c r="H5" s="3">
        <v>497607</v>
      </c>
      <c r="I5" s="3">
        <v>0</v>
      </c>
      <c r="J5" s="4" t="s">
        <v>23</v>
      </c>
      <c r="K5" s="3">
        <v>0</v>
      </c>
      <c r="L5" s="3">
        <v>541049</v>
      </c>
      <c r="M5" s="3">
        <v>458949</v>
      </c>
      <c r="N5" s="3">
        <v>2</v>
      </c>
      <c r="O5" s="4" t="s">
        <v>42</v>
      </c>
      <c r="P5" s="3">
        <v>0</v>
      </c>
      <c r="Q5" s="4">
        <v>496668</v>
      </c>
      <c r="R5" s="4">
        <v>503322</v>
      </c>
      <c r="S5" s="4">
        <v>10</v>
      </c>
      <c r="T5" s="4">
        <v>98540</v>
      </c>
    </row>
    <row r="6" spans="1:20" x14ac:dyDescent="0.4">
      <c r="A6" s="3">
        <v>8</v>
      </c>
      <c r="B6" s="3">
        <v>500651</v>
      </c>
      <c r="C6" s="3">
        <v>499341</v>
      </c>
      <c r="D6" s="3">
        <v>0</v>
      </c>
      <c r="E6" s="4" t="s">
        <v>37</v>
      </c>
      <c r="F6" s="3">
        <v>0</v>
      </c>
      <c r="G6" s="3">
        <v>500872</v>
      </c>
      <c r="H6" s="3">
        <v>499127</v>
      </c>
      <c r="I6" s="4">
        <v>1</v>
      </c>
      <c r="J6" s="4" t="s">
        <v>26</v>
      </c>
      <c r="K6" s="3">
        <v>0</v>
      </c>
      <c r="L6" s="3">
        <v>526419</v>
      </c>
      <c r="M6" s="3">
        <v>473580</v>
      </c>
      <c r="N6" s="3">
        <v>1</v>
      </c>
      <c r="O6" s="4" t="s">
        <v>43</v>
      </c>
      <c r="P6" s="3">
        <v>0</v>
      </c>
      <c r="Q6" s="4">
        <v>512930</v>
      </c>
      <c r="R6" s="4">
        <v>487057</v>
      </c>
      <c r="S6" s="4">
        <v>13</v>
      </c>
      <c r="T6" s="4">
        <v>92877</v>
      </c>
    </row>
    <row r="7" spans="1:20" x14ac:dyDescent="0.4">
      <c r="A7" s="3">
        <v>16</v>
      </c>
      <c r="B7" s="3">
        <v>506186</v>
      </c>
      <c r="C7" s="3">
        <v>493797</v>
      </c>
      <c r="D7" s="3">
        <v>1</v>
      </c>
      <c r="E7" s="4" t="s">
        <v>38</v>
      </c>
      <c r="F7" s="3">
        <v>0</v>
      </c>
      <c r="G7" s="3">
        <v>477302</v>
      </c>
      <c r="H7" s="3">
        <v>522698</v>
      </c>
      <c r="I7" s="4">
        <v>0</v>
      </c>
      <c r="J7" s="4" t="s">
        <v>27</v>
      </c>
      <c r="K7" s="3">
        <v>0</v>
      </c>
      <c r="L7" s="3">
        <v>526419</v>
      </c>
      <c r="M7" s="3">
        <v>495146</v>
      </c>
      <c r="N7" s="3">
        <v>3</v>
      </c>
      <c r="O7" s="4" t="s">
        <v>44</v>
      </c>
      <c r="P7" s="3">
        <v>0</v>
      </c>
      <c r="Q7" s="4">
        <v>462801</v>
      </c>
      <c r="R7" s="4">
        <v>537188</v>
      </c>
      <c r="S7" s="4">
        <v>11</v>
      </c>
      <c r="T7" s="4">
        <v>97658</v>
      </c>
    </row>
    <row r="8" spans="1:20" x14ac:dyDescent="0.4">
      <c r="A8" s="3">
        <v>6</v>
      </c>
      <c r="B8" s="3">
        <v>482151</v>
      </c>
      <c r="C8" s="3">
        <v>517842</v>
      </c>
      <c r="D8" s="3">
        <v>1</v>
      </c>
      <c r="E8" s="4" t="s">
        <v>16</v>
      </c>
      <c r="F8" s="3">
        <v>0</v>
      </c>
      <c r="G8" s="3">
        <v>503011</v>
      </c>
      <c r="H8" s="3">
        <v>496988</v>
      </c>
      <c r="I8" s="4">
        <v>1</v>
      </c>
      <c r="J8" s="4" t="s">
        <v>30</v>
      </c>
      <c r="K8" s="3">
        <v>0</v>
      </c>
      <c r="L8" s="3">
        <v>528533</v>
      </c>
      <c r="M8" s="3">
        <v>471463</v>
      </c>
      <c r="N8" s="3">
        <v>4</v>
      </c>
      <c r="O8" s="4" t="s">
        <v>45</v>
      </c>
      <c r="P8" s="3">
        <v>0</v>
      </c>
      <c r="Q8" s="4">
        <v>506877</v>
      </c>
      <c r="R8" s="4">
        <v>493116</v>
      </c>
      <c r="S8" s="4">
        <v>7</v>
      </c>
      <c r="T8" s="4">
        <v>79604</v>
      </c>
    </row>
    <row r="9" spans="1:20" x14ac:dyDescent="0.4">
      <c r="A9" s="1"/>
      <c r="B9" s="1"/>
      <c r="C9" s="1"/>
      <c r="D9" s="1"/>
    </row>
    <row r="10" spans="1:20" x14ac:dyDescent="0.4">
      <c r="A10" s="19" t="s">
        <v>48</v>
      </c>
      <c r="B10" s="19" t="s">
        <v>49</v>
      </c>
      <c r="C10" s="19" t="s">
        <v>50</v>
      </c>
      <c r="D10" s="19" t="s">
        <v>51</v>
      </c>
    </row>
    <row r="11" spans="1:20" x14ac:dyDescent="0.4">
      <c r="A11" s="3">
        <v>6.73</v>
      </c>
      <c r="B11" s="3">
        <v>20.38</v>
      </c>
      <c r="C11" s="3">
        <v>41.27</v>
      </c>
      <c r="D11" s="3">
        <v>52.67</v>
      </c>
    </row>
    <row r="12" spans="1:20" x14ac:dyDescent="0.4">
      <c r="A12" s="3">
        <v>6.91</v>
      </c>
      <c r="B12" s="3">
        <v>21.43</v>
      </c>
      <c r="C12" s="3">
        <v>37.26</v>
      </c>
      <c r="D12" s="3">
        <v>47.54</v>
      </c>
    </row>
    <row r="13" spans="1:20" x14ac:dyDescent="0.4">
      <c r="A13" s="3">
        <v>6.54</v>
      </c>
      <c r="B13" s="3">
        <v>19.57</v>
      </c>
      <c r="C13" s="3">
        <v>38.020000000000003</v>
      </c>
      <c r="D13" s="3">
        <v>43.03</v>
      </c>
    </row>
    <row r="14" spans="1:20" x14ac:dyDescent="0.4">
      <c r="A14" s="3">
        <v>6.37</v>
      </c>
      <c r="B14" s="3">
        <v>20.9</v>
      </c>
      <c r="C14" s="3">
        <v>37.479999999999997</v>
      </c>
      <c r="D14" s="3">
        <v>46.59</v>
      </c>
    </row>
    <row r="15" spans="1:20" x14ac:dyDescent="0.4">
      <c r="A15" s="3">
        <v>6.28</v>
      </c>
      <c r="B15" s="3">
        <v>22.49</v>
      </c>
      <c r="C15" s="3">
        <v>37.03</v>
      </c>
      <c r="D15" s="3">
        <v>46.88</v>
      </c>
    </row>
    <row r="17" spans="1:20" x14ac:dyDescent="0.4">
      <c r="A17" s="17" t="s">
        <v>54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 spans="1:20" x14ac:dyDescent="0.4">
      <c r="A18" s="17" t="s">
        <v>2</v>
      </c>
      <c r="B18" s="17"/>
      <c r="C18" s="17"/>
      <c r="D18" s="17"/>
      <c r="E18" s="17"/>
      <c r="F18" s="17" t="s">
        <v>0</v>
      </c>
      <c r="G18" s="17"/>
      <c r="H18" s="17"/>
      <c r="I18" s="17"/>
      <c r="J18" s="17"/>
      <c r="K18" s="17" t="s">
        <v>3</v>
      </c>
      <c r="L18" s="17"/>
      <c r="M18" s="17"/>
      <c r="N18" s="17"/>
      <c r="O18" s="17"/>
      <c r="P18" s="17" t="s">
        <v>4</v>
      </c>
      <c r="Q18" s="17"/>
      <c r="R18" s="17"/>
      <c r="S18" s="17"/>
      <c r="T18" s="17"/>
    </row>
    <row r="19" spans="1:20" x14ac:dyDescent="0.4">
      <c r="A19" s="18" t="s">
        <v>11</v>
      </c>
      <c r="B19" s="18" t="s">
        <v>12</v>
      </c>
      <c r="C19" s="18" t="s">
        <v>13</v>
      </c>
      <c r="D19" s="18" t="s">
        <v>14</v>
      </c>
      <c r="E19" s="18" t="s">
        <v>15</v>
      </c>
      <c r="F19" s="18" t="s">
        <v>11</v>
      </c>
      <c r="G19" s="18" t="s">
        <v>12</v>
      </c>
      <c r="H19" s="18" t="s">
        <v>13</v>
      </c>
      <c r="I19" s="18" t="s">
        <v>14</v>
      </c>
      <c r="J19" s="18" t="s">
        <v>15</v>
      </c>
      <c r="K19" s="18" t="s">
        <v>11</v>
      </c>
      <c r="L19" s="18" t="s">
        <v>12</v>
      </c>
      <c r="M19" s="18" t="s">
        <v>13</v>
      </c>
      <c r="N19" s="18" t="s">
        <v>14</v>
      </c>
      <c r="O19" s="18" t="s">
        <v>15</v>
      </c>
      <c r="P19" s="18" t="s">
        <v>11</v>
      </c>
      <c r="Q19" s="18" t="s">
        <v>12</v>
      </c>
      <c r="R19" s="18" t="s">
        <v>13</v>
      </c>
      <c r="S19" s="18" t="s">
        <v>14</v>
      </c>
      <c r="T19" s="18" t="s">
        <v>15</v>
      </c>
    </row>
    <row r="20" spans="1:20" x14ac:dyDescent="0.4">
      <c r="A20" s="3">
        <v>282051</v>
      </c>
      <c r="B20" s="3">
        <v>357926</v>
      </c>
      <c r="C20" s="3">
        <v>360022</v>
      </c>
      <c r="D20" s="3">
        <v>1</v>
      </c>
      <c r="E20" s="4" t="s">
        <v>55</v>
      </c>
      <c r="F20" s="3">
        <v>0</v>
      </c>
      <c r="G20" s="3">
        <v>442955</v>
      </c>
      <c r="H20" s="3">
        <v>557006</v>
      </c>
      <c r="I20" s="3">
        <v>39</v>
      </c>
      <c r="J20" s="4" t="s">
        <v>60</v>
      </c>
      <c r="K20" s="3">
        <v>0</v>
      </c>
      <c r="L20" s="3">
        <v>498988</v>
      </c>
      <c r="M20" s="3">
        <v>500218</v>
      </c>
      <c r="N20" s="3">
        <v>794</v>
      </c>
      <c r="O20" s="4" t="s">
        <v>65</v>
      </c>
      <c r="P20" s="3">
        <v>0</v>
      </c>
      <c r="Q20" s="3">
        <v>487342</v>
      </c>
      <c r="R20" s="3">
        <v>449079</v>
      </c>
      <c r="S20" s="3">
        <v>63579</v>
      </c>
      <c r="T20" s="4" t="s">
        <v>70</v>
      </c>
    </row>
    <row r="21" spans="1:20" x14ac:dyDescent="0.4">
      <c r="A21" s="3">
        <v>306593</v>
      </c>
      <c r="B21" s="3">
        <v>347631</v>
      </c>
      <c r="C21" s="3">
        <v>345776</v>
      </c>
      <c r="D21" s="3">
        <v>0</v>
      </c>
      <c r="E21" s="4" t="s">
        <v>56</v>
      </c>
      <c r="F21" s="3">
        <v>0</v>
      </c>
      <c r="G21" s="3">
        <v>497845</v>
      </c>
      <c r="H21" s="3">
        <v>502126</v>
      </c>
      <c r="I21" s="3">
        <v>29</v>
      </c>
      <c r="J21" s="4" t="s">
        <v>61</v>
      </c>
      <c r="K21" s="3">
        <v>0</v>
      </c>
      <c r="L21" s="3">
        <v>492430</v>
      </c>
      <c r="M21" s="3">
        <v>507027</v>
      </c>
      <c r="N21" s="3">
        <v>543</v>
      </c>
      <c r="O21" s="4" t="s">
        <v>66</v>
      </c>
      <c r="P21" s="3">
        <v>0</v>
      </c>
      <c r="Q21" s="4">
        <v>477710</v>
      </c>
      <c r="R21" s="4">
        <v>435245</v>
      </c>
      <c r="S21" s="4">
        <v>87045</v>
      </c>
      <c r="T21" s="4" t="s">
        <v>71</v>
      </c>
    </row>
    <row r="22" spans="1:20" x14ac:dyDescent="0.4">
      <c r="A22" s="3">
        <v>307993</v>
      </c>
      <c r="B22" s="3">
        <v>341959</v>
      </c>
      <c r="C22" s="3">
        <v>350048</v>
      </c>
      <c r="D22" s="3">
        <v>0</v>
      </c>
      <c r="E22" s="4" t="s">
        <v>57</v>
      </c>
      <c r="F22" s="3">
        <v>0</v>
      </c>
      <c r="G22" s="3">
        <v>504677</v>
      </c>
      <c r="H22" s="3">
        <v>495310</v>
      </c>
      <c r="I22" s="4">
        <v>13</v>
      </c>
      <c r="J22" s="4" t="s">
        <v>62</v>
      </c>
      <c r="K22" s="3">
        <v>0</v>
      </c>
      <c r="L22" s="3">
        <v>499096</v>
      </c>
      <c r="M22" s="3">
        <v>500367</v>
      </c>
      <c r="N22" s="3">
        <v>537</v>
      </c>
      <c r="O22" s="4" t="s">
        <v>67</v>
      </c>
      <c r="P22" s="3">
        <v>0</v>
      </c>
      <c r="Q22" s="4">
        <v>481652</v>
      </c>
      <c r="R22" s="4">
        <v>434395</v>
      </c>
      <c r="S22" s="4">
        <v>83953</v>
      </c>
      <c r="T22" s="4" t="s">
        <v>72</v>
      </c>
    </row>
    <row r="23" spans="1:20" x14ac:dyDescent="0.4">
      <c r="A23" s="3">
        <v>289428</v>
      </c>
      <c r="B23" s="3">
        <v>353659</v>
      </c>
      <c r="C23" s="3">
        <v>356913</v>
      </c>
      <c r="D23" s="3">
        <v>0</v>
      </c>
      <c r="E23" s="4" t="s">
        <v>58</v>
      </c>
      <c r="F23" s="3">
        <v>0</v>
      </c>
      <c r="G23" s="3">
        <v>500056</v>
      </c>
      <c r="H23" s="3">
        <v>499893</v>
      </c>
      <c r="I23" s="4">
        <v>51</v>
      </c>
      <c r="J23" s="4" t="s">
        <v>63</v>
      </c>
      <c r="K23" s="3">
        <v>0</v>
      </c>
      <c r="L23" s="3">
        <v>494479</v>
      </c>
      <c r="M23" s="3">
        <v>504881</v>
      </c>
      <c r="N23" s="3">
        <v>640</v>
      </c>
      <c r="O23" s="4" t="s">
        <v>68</v>
      </c>
      <c r="P23" s="3">
        <v>0</v>
      </c>
      <c r="Q23" s="4">
        <v>483909</v>
      </c>
      <c r="R23" s="4">
        <v>432696</v>
      </c>
      <c r="S23" s="4">
        <v>83395</v>
      </c>
      <c r="T23" s="4" t="s">
        <v>73</v>
      </c>
    </row>
    <row r="24" spans="1:20" x14ac:dyDescent="0.4">
      <c r="A24" s="3">
        <v>296424</v>
      </c>
      <c r="B24" s="3">
        <v>347592</v>
      </c>
      <c r="C24" s="3">
        <v>355984</v>
      </c>
      <c r="D24" s="3">
        <v>0</v>
      </c>
      <c r="E24" s="4" t="s">
        <v>59</v>
      </c>
      <c r="F24" s="3">
        <v>0</v>
      </c>
      <c r="G24" s="3">
        <v>478160</v>
      </c>
      <c r="H24" s="3">
        <v>521823</v>
      </c>
      <c r="I24" s="4">
        <v>17</v>
      </c>
      <c r="J24" s="4" t="s">
        <v>64</v>
      </c>
      <c r="K24" s="3">
        <v>0</v>
      </c>
      <c r="L24" s="3">
        <v>502724</v>
      </c>
      <c r="M24" s="3">
        <v>496830</v>
      </c>
      <c r="N24" s="3">
        <v>446</v>
      </c>
      <c r="O24" s="4" t="s">
        <v>69</v>
      </c>
      <c r="P24" s="3">
        <v>0</v>
      </c>
      <c r="Q24" s="4">
        <v>476632</v>
      </c>
      <c r="R24" s="4">
        <v>435925</v>
      </c>
      <c r="S24" s="4">
        <v>87443</v>
      </c>
      <c r="T24" s="4" t="s">
        <v>74</v>
      </c>
    </row>
    <row r="26" spans="1:20" x14ac:dyDescent="0.4">
      <c r="A26" s="19" t="s">
        <v>48</v>
      </c>
      <c r="B26" s="19" t="s">
        <v>49</v>
      </c>
      <c r="C26" s="19" t="s">
        <v>50</v>
      </c>
      <c r="D26" s="19" t="s">
        <v>51</v>
      </c>
    </row>
    <row r="27" spans="1:20" x14ac:dyDescent="0.4">
      <c r="A27" s="3">
        <v>5.59</v>
      </c>
      <c r="B27" s="3">
        <v>23.83</v>
      </c>
      <c r="C27" s="3">
        <v>58.24</v>
      </c>
      <c r="D27" s="3">
        <v>45.17</v>
      </c>
    </row>
    <row r="28" spans="1:20" x14ac:dyDescent="0.4">
      <c r="A28" s="3">
        <v>7.87</v>
      </c>
      <c r="B28" s="3">
        <v>22.54</v>
      </c>
      <c r="C28" s="3">
        <v>60.9</v>
      </c>
      <c r="D28" s="3">
        <v>46.83</v>
      </c>
    </row>
    <row r="29" spans="1:20" x14ac:dyDescent="0.4">
      <c r="A29" s="3">
        <v>6.5</v>
      </c>
      <c r="B29" s="3">
        <v>22.58</v>
      </c>
      <c r="C29" s="3">
        <v>58.57</v>
      </c>
      <c r="D29" s="3">
        <v>43.55</v>
      </c>
    </row>
    <row r="30" spans="1:20" x14ac:dyDescent="0.4">
      <c r="A30" s="3">
        <v>5.42</v>
      </c>
      <c r="B30" s="3">
        <v>22.13</v>
      </c>
      <c r="C30" s="3">
        <v>62.72</v>
      </c>
      <c r="D30" s="3">
        <v>43.81</v>
      </c>
    </row>
    <row r="31" spans="1:20" x14ac:dyDescent="0.4">
      <c r="A31" s="3">
        <v>6.81</v>
      </c>
      <c r="B31" s="3">
        <v>22.43</v>
      </c>
      <c r="C31" s="3">
        <v>39.94</v>
      </c>
      <c r="D31" s="3">
        <v>43.69</v>
      </c>
    </row>
  </sheetData>
  <mergeCells count="10">
    <mergeCell ref="A17:T17"/>
    <mergeCell ref="A18:E18"/>
    <mergeCell ref="F18:J18"/>
    <mergeCell ref="K18:O18"/>
    <mergeCell ref="P18:T18"/>
    <mergeCell ref="A1:T1"/>
    <mergeCell ref="A2:E2"/>
    <mergeCell ref="F2:J2"/>
    <mergeCell ref="K2:O2"/>
    <mergeCell ref="P2:T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79932-1E90-4927-8BF6-1C5D20675742}">
  <dimension ref="A1:T31"/>
  <sheetViews>
    <sheetView zoomScale="78" workbookViewId="0">
      <selection activeCell="F34" sqref="F34"/>
    </sheetView>
  </sheetViews>
  <sheetFormatPr defaultRowHeight="14.6" x14ac:dyDescent="0.4"/>
  <cols>
    <col min="5" max="5" width="9.3828125" bestFit="1" customWidth="1"/>
    <col min="10" max="10" width="9.53515625" bestFit="1" customWidth="1"/>
  </cols>
  <sheetData>
    <row r="1" spans="1:20" x14ac:dyDescent="0.4">
      <c r="A1" s="14" t="s">
        <v>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x14ac:dyDescent="0.4">
      <c r="A2" s="14" t="s">
        <v>2</v>
      </c>
      <c r="B2" s="14"/>
      <c r="C2" s="14"/>
      <c r="D2" s="14"/>
      <c r="E2" s="14"/>
      <c r="F2" s="14" t="s">
        <v>0</v>
      </c>
      <c r="G2" s="14"/>
      <c r="H2" s="14"/>
      <c r="I2" s="14"/>
      <c r="J2" s="14"/>
      <c r="K2" s="14" t="s">
        <v>3</v>
      </c>
      <c r="L2" s="14"/>
      <c r="M2" s="14"/>
      <c r="N2" s="14"/>
      <c r="O2" s="14"/>
      <c r="P2" s="14" t="s">
        <v>4</v>
      </c>
      <c r="Q2" s="14"/>
      <c r="R2" s="14"/>
      <c r="S2" s="14"/>
      <c r="T2" s="14"/>
    </row>
    <row r="3" spans="1:20" x14ac:dyDescent="0.4">
      <c r="A3" s="15" t="s">
        <v>11</v>
      </c>
      <c r="B3" s="15" t="s">
        <v>12</v>
      </c>
      <c r="C3" s="15" t="s">
        <v>13</v>
      </c>
      <c r="D3" s="15" t="s">
        <v>14</v>
      </c>
      <c r="E3" s="15" t="s">
        <v>15</v>
      </c>
      <c r="F3" s="15" t="s">
        <v>11</v>
      </c>
      <c r="G3" s="15" t="s">
        <v>12</v>
      </c>
      <c r="H3" s="15" t="s">
        <v>13</v>
      </c>
      <c r="I3" s="15" t="s">
        <v>14</v>
      </c>
      <c r="J3" s="15" t="s">
        <v>15</v>
      </c>
      <c r="K3" s="15" t="s">
        <v>11</v>
      </c>
      <c r="L3" s="15" t="s">
        <v>12</v>
      </c>
      <c r="M3" s="15" t="s">
        <v>13</v>
      </c>
      <c r="N3" s="15" t="s">
        <v>14</v>
      </c>
      <c r="O3" s="15" t="s">
        <v>15</v>
      </c>
      <c r="P3" s="15" t="s">
        <v>11</v>
      </c>
      <c r="Q3" s="15" t="s">
        <v>12</v>
      </c>
      <c r="R3" s="15" t="s">
        <v>13</v>
      </c>
      <c r="S3" s="15" t="s">
        <v>14</v>
      </c>
      <c r="T3" s="15" t="s">
        <v>15</v>
      </c>
    </row>
    <row r="4" spans="1:20" x14ac:dyDescent="0.4">
      <c r="A4" s="4">
        <v>92</v>
      </c>
      <c r="B4" s="4">
        <v>497887</v>
      </c>
      <c r="C4" s="4">
        <v>502018</v>
      </c>
      <c r="D4" s="4">
        <v>3</v>
      </c>
      <c r="E4" s="12">
        <v>22216.906999999999</v>
      </c>
      <c r="F4" s="4">
        <v>0</v>
      </c>
      <c r="G4" s="3">
        <v>490143</v>
      </c>
      <c r="H4" s="3">
        <f>1000000-F4-G4-I4</f>
        <v>509640</v>
      </c>
      <c r="I4" s="4">
        <v>217</v>
      </c>
      <c r="J4" s="12">
        <v>22322.909</v>
      </c>
      <c r="K4" s="4">
        <v>0</v>
      </c>
      <c r="L4" s="3">
        <v>503989</v>
      </c>
      <c r="M4" s="3">
        <f>1000000-K4-L4-N4</f>
        <v>495869</v>
      </c>
      <c r="N4" s="4">
        <v>142</v>
      </c>
      <c r="O4" s="4"/>
      <c r="P4" s="4">
        <v>0</v>
      </c>
      <c r="Q4" s="3">
        <v>495778</v>
      </c>
      <c r="R4" s="3">
        <f>1000000-P4-Q4-S4</f>
        <v>504093</v>
      </c>
      <c r="S4" s="4">
        <v>129</v>
      </c>
      <c r="T4" s="4">
        <v>19251.133999999998</v>
      </c>
    </row>
    <row r="5" spans="1:20" x14ac:dyDescent="0.4">
      <c r="A5" s="3">
        <v>47</v>
      </c>
      <c r="B5" s="4">
        <v>498370</v>
      </c>
      <c r="C5" s="3">
        <f>1000000-A5-B5-D5</f>
        <v>501581</v>
      </c>
      <c r="D5" s="3">
        <v>2</v>
      </c>
      <c r="E5" s="4">
        <v>22176.906999999999</v>
      </c>
      <c r="F5" s="3">
        <v>0</v>
      </c>
      <c r="G5" s="3">
        <v>508277</v>
      </c>
      <c r="H5" s="3">
        <f>1000000-F5-G5-I5</f>
        <v>491496</v>
      </c>
      <c r="I5" s="3">
        <v>227</v>
      </c>
      <c r="J5" s="4">
        <v>22084.906999999999</v>
      </c>
      <c r="K5" s="3">
        <v>0</v>
      </c>
      <c r="L5" s="3">
        <v>497398</v>
      </c>
      <c r="M5" s="3">
        <f>1000000-K5-L5-N5</f>
        <v>502420</v>
      </c>
      <c r="N5" s="3">
        <v>182</v>
      </c>
      <c r="O5" s="4">
        <v>21892.906999999999</v>
      </c>
      <c r="P5" s="3">
        <v>0</v>
      </c>
      <c r="Q5" s="3">
        <v>504602</v>
      </c>
      <c r="R5" s="3">
        <f>1000000-P5-Q5-S5</f>
        <v>495371</v>
      </c>
      <c r="S5" s="3">
        <v>27</v>
      </c>
      <c r="T5" s="4">
        <v>22446.906999999999</v>
      </c>
    </row>
    <row r="6" spans="1:20" x14ac:dyDescent="0.4">
      <c r="A6" s="3">
        <v>95</v>
      </c>
      <c r="B6" s="4">
        <v>503477</v>
      </c>
      <c r="C6" s="3">
        <f>1000000-A6-B6-D6</f>
        <v>496424</v>
      </c>
      <c r="D6" s="3">
        <v>4</v>
      </c>
      <c r="E6" s="4">
        <v>22515.906999999999</v>
      </c>
      <c r="F6" s="3">
        <v>0</v>
      </c>
      <c r="G6" s="3">
        <v>499209</v>
      </c>
      <c r="H6" s="3">
        <f>1000000-F6-G6-I6</f>
        <v>500268</v>
      </c>
      <c r="I6" s="3">
        <v>523</v>
      </c>
      <c r="J6" s="4">
        <v>21993.906999999999</v>
      </c>
      <c r="K6" s="3">
        <v>0</v>
      </c>
      <c r="L6" s="3">
        <v>498864</v>
      </c>
      <c r="M6" s="3">
        <f>1000000-K6-L6-N6</f>
        <v>500818</v>
      </c>
      <c r="N6" s="3">
        <v>318</v>
      </c>
      <c r="O6" s="4">
        <v>22341.906999999999</v>
      </c>
      <c r="P6" s="3">
        <v>0</v>
      </c>
      <c r="Q6" s="3">
        <v>496353</v>
      </c>
      <c r="R6" s="3">
        <f>1000000-P6-Q6-S6</f>
        <v>503630</v>
      </c>
      <c r="S6" s="3">
        <v>17</v>
      </c>
      <c r="T6" s="4">
        <v>22352.906999999999</v>
      </c>
    </row>
    <row r="7" spans="1:20" x14ac:dyDescent="0.4">
      <c r="A7" s="3">
        <v>87</v>
      </c>
      <c r="B7" s="4">
        <v>507300</v>
      </c>
      <c r="C7" s="3">
        <f>1000000-A7-B7-D7</f>
        <v>492612</v>
      </c>
      <c r="D7" s="3">
        <v>1</v>
      </c>
      <c r="E7" s="4">
        <v>22440.906999999999</v>
      </c>
      <c r="F7" s="3">
        <v>0</v>
      </c>
      <c r="G7" s="3">
        <v>494694</v>
      </c>
      <c r="H7" s="3">
        <f>1000000-F7-G7-I7</f>
        <v>504789</v>
      </c>
      <c r="I7" s="3">
        <v>517</v>
      </c>
      <c r="J7" s="4">
        <v>22272.906999999999</v>
      </c>
      <c r="K7" s="3">
        <v>0</v>
      </c>
      <c r="L7" s="3">
        <v>509208</v>
      </c>
      <c r="M7" s="3">
        <f>1000000-K7-L7-N7</f>
        <v>490559</v>
      </c>
      <c r="N7" s="3">
        <v>233</v>
      </c>
      <c r="O7" s="4">
        <v>21892.906999999999</v>
      </c>
      <c r="P7" s="3">
        <v>0</v>
      </c>
      <c r="Q7" s="3">
        <v>493536</v>
      </c>
      <c r="R7" s="3">
        <f>1000000-P7-Q7-S7</f>
        <v>506405</v>
      </c>
      <c r="S7" s="3">
        <v>59</v>
      </c>
      <c r="T7" s="4">
        <v>22084.906999999999</v>
      </c>
    </row>
    <row r="8" spans="1:20" x14ac:dyDescent="0.4">
      <c r="A8" s="3">
        <v>82</v>
      </c>
      <c r="B8" s="4">
        <v>497543</v>
      </c>
      <c r="C8" s="3">
        <f>1000000-A8-B8-D8</f>
        <v>502371</v>
      </c>
      <c r="D8" s="3">
        <v>4</v>
      </c>
      <c r="E8" s="4">
        <v>21833.906999999999</v>
      </c>
      <c r="F8" s="3">
        <v>0</v>
      </c>
      <c r="G8" s="3">
        <v>505946</v>
      </c>
      <c r="H8" s="3">
        <f>1000000-F8-G8-I8</f>
        <v>493721</v>
      </c>
      <c r="I8" s="3">
        <v>333</v>
      </c>
      <c r="J8" s="4">
        <v>22432.906999999999</v>
      </c>
      <c r="K8" s="3">
        <v>0</v>
      </c>
      <c r="L8" s="3">
        <v>501864</v>
      </c>
      <c r="M8" s="3">
        <f>1000000-K8-L8-N8</f>
        <v>497657</v>
      </c>
      <c r="N8" s="3">
        <v>479</v>
      </c>
      <c r="O8" s="4">
        <v>22260.906999999999</v>
      </c>
      <c r="P8" s="3">
        <v>0</v>
      </c>
      <c r="Q8" s="3">
        <v>508624</v>
      </c>
      <c r="R8" s="3">
        <f>1000000-P8-Q8-S8</f>
        <v>491359</v>
      </c>
      <c r="S8" s="3">
        <v>17</v>
      </c>
      <c r="T8" s="4">
        <v>22395.906999999999</v>
      </c>
    </row>
    <row r="10" spans="1:20" x14ac:dyDescent="0.4">
      <c r="A10" s="13" t="s">
        <v>48</v>
      </c>
      <c r="B10" s="13" t="s">
        <v>49</v>
      </c>
      <c r="C10" s="13" t="s">
        <v>50</v>
      </c>
      <c r="D10" s="13" t="s">
        <v>51</v>
      </c>
    </row>
    <row r="11" spans="1:20" x14ac:dyDescent="0.4">
      <c r="A11" s="3">
        <v>11.9</v>
      </c>
      <c r="B11" s="3">
        <v>72.88</v>
      </c>
      <c r="C11" s="3">
        <v>83.53</v>
      </c>
      <c r="D11" s="3">
        <v>90.65</v>
      </c>
    </row>
    <row r="12" spans="1:20" x14ac:dyDescent="0.4">
      <c r="A12" s="3">
        <v>11.61</v>
      </c>
      <c r="B12" s="3">
        <v>71.27</v>
      </c>
      <c r="C12" s="3">
        <v>74.790000000000006</v>
      </c>
      <c r="D12" s="3">
        <v>93.35</v>
      </c>
      <c r="E12" s="2"/>
    </row>
    <row r="13" spans="1:20" x14ac:dyDescent="0.4">
      <c r="A13" s="3">
        <v>12.78</v>
      </c>
      <c r="B13" s="3">
        <v>71.38</v>
      </c>
      <c r="C13" s="3">
        <v>70.790000000000006</v>
      </c>
      <c r="D13" s="3">
        <v>93.54</v>
      </c>
      <c r="E13" s="2"/>
    </row>
    <row r="14" spans="1:20" x14ac:dyDescent="0.4">
      <c r="A14" s="3">
        <v>12.43</v>
      </c>
      <c r="B14" s="3">
        <v>64.28</v>
      </c>
      <c r="C14" s="3">
        <v>77.09</v>
      </c>
      <c r="D14" s="3">
        <v>94.42</v>
      </c>
      <c r="E14" s="2"/>
    </row>
    <row r="15" spans="1:20" x14ac:dyDescent="0.4">
      <c r="A15" s="3">
        <v>11.27</v>
      </c>
      <c r="B15" s="3">
        <v>63.67</v>
      </c>
      <c r="C15" s="3">
        <v>61.58</v>
      </c>
      <c r="D15" s="3">
        <v>92.91</v>
      </c>
      <c r="E15" s="2"/>
    </row>
    <row r="17" spans="1:20" x14ac:dyDescent="0.4">
      <c r="A17" s="14" t="s">
        <v>75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spans="1:20" x14ac:dyDescent="0.4">
      <c r="A18" s="14" t="s">
        <v>2</v>
      </c>
      <c r="B18" s="14"/>
      <c r="C18" s="14"/>
      <c r="D18" s="14"/>
      <c r="E18" s="14"/>
      <c r="F18" s="14" t="s">
        <v>0</v>
      </c>
      <c r="G18" s="14"/>
      <c r="H18" s="14"/>
      <c r="I18" s="14"/>
      <c r="J18" s="14"/>
      <c r="K18" s="14" t="s">
        <v>3</v>
      </c>
      <c r="L18" s="14"/>
      <c r="M18" s="14"/>
      <c r="N18" s="14"/>
      <c r="O18" s="14"/>
      <c r="P18" s="14" t="s">
        <v>4</v>
      </c>
      <c r="Q18" s="14"/>
      <c r="R18" s="14"/>
      <c r="S18" s="14"/>
      <c r="T18" s="14"/>
    </row>
    <row r="19" spans="1:20" x14ac:dyDescent="0.4">
      <c r="A19" s="15" t="s">
        <v>11</v>
      </c>
      <c r="B19" s="15" t="s">
        <v>12</v>
      </c>
      <c r="C19" s="15" t="s">
        <v>13</v>
      </c>
      <c r="D19" s="15" t="s">
        <v>14</v>
      </c>
      <c r="E19" s="15" t="s">
        <v>15</v>
      </c>
      <c r="F19" s="15" t="s">
        <v>11</v>
      </c>
      <c r="G19" s="15" t="s">
        <v>12</v>
      </c>
      <c r="H19" s="15" t="s">
        <v>13</v>
      </c>
      <c r="I19" s="15" t="s">
        <v>14</v>
      </c>
      <c r="J19" s="15" t="s">
        <v>15</v>
      </c>
      <c r="K19" s="15" t="s">
        <v>11</v>
      </c>
      <c r="L19" s="15" t="s">
        <v>12</v>
      </c>
      <c r="M19" s="15" t="s">
        <v>13</v>
      </c>
      <c r="N19" s="15" t="s">
        <v>14</v>
      </c>
      <c r="O19" s="15" t="s">
        <v>15</v>
      </c>
      <c r="P19" s="15" t="s">
        <v>11</v>
      </c>
      <c r="Q19" s="15" t="s">
        <v>12</v>
      </c>
      <c r="R19" s="15" t="s">
        <v>13</v>
      </c>
      <c r="S19" s="15" t="s">
        <v>14</v>
      </c>
      <c r="T19" s="15" t="s">
        <v>15</v>
      </c>
    </row>
    <row r="20" spans="1:20" x14ac:dyDescent="0.4">
      <c r="A20" s="3">
        <v>6448</v>
      </c>
      <c r="B20" s="3">
        <v>500726</v>
      </c>
      <c r="C20" s="3">
        <v>492176</v>
      </c>
      <c r="D20" s="3">
        <v>650</v>
      </c>
      <c r="E20" s="4">
        <v>2093.31</v>
      </c>
      <c r="F20" s="3">
        <v>0</v>
      </c>
      <c r="G20" s="3">
        <v>412297</v>
      </c>
      <c r="H20" s="3">
        <v>428000</v>
      </c>
      <c r="I20" s="3">
        <v>159703</v>
      </c>
      <c r="J20" s="3">
        <v>2231.5300000000002</v>
      </c>
      <c r="K20" s="3">
        <v>0</v>
      </c>
      <c r="L20" s="3">
        <v>485813</v>
      </c>
      <c r="M20" s="3">
        <v>497771</v>
      </c>
      <c r="N20" s="3">
        <v>16416</v>
      </c>
      <c r="O20" s="3">
        <v>1309.75</v>
      </c>
      <c r="P20" s="3">
        <v>0</v>
      </c>
      <c r="Q20" s="3">
        <v>434566</v>
      </c>
      <c r="R20" s="3">
        <v>419695</v>
      </c>
      <c r="S20" s="3">
        <v>145739</v>
      </c>
      <c r="T20" s="4">
        <v>1387.88</v>
      </c>
    </row>
    <row r="21" spans="1:20" x14ac:dyDescent="0.4">
      <c r="A21" s="3">
        <v>5128</v>
      </c>
      <c r="B21" s="3">
        <v>594717</v>
      </c>
      <c r="C21" s="3">
        <v>399929</v>
      </c>
      <c r="D21" s="3">
        <v>226</v>
      </c>
      <c r="E21" s="4">
        <v>1796.68</v>
      </c>
      <c r="F21" s="3">
        <v>0</v>
      </c>
      <c r="G21" s="3">
        <v>414376</v>
      </c>
      <c r="H21" s="3">
        <v>461406</v>
      </c>
      <c r="I21" s="3">
        <v>124218</v>
      </c>
      <c r="J21" s="3">
        <v>1496.43</v>
      </c>
      <c r="K21" s="3">
        <v>0</v>
      </c>
      <c r="L21" s="3">
        <v>481194</v>
      </c>
      <c r="M21" s="3">
        <v>490747</v>
      </c>
      <c r="N21" s="3">
        <v>28059</v>
      </c>
      <c r="O21" s="3">
        <v>1279.45</v>
      </c>
      <c r="P21" s="3">
        <v>0</v>
      </c>
      <c r="Q21" s="4">
        <v>557009</v>
      </c>
      <c r="R21" s="4">
        <v>195251</v>
      </c>
      <c r="S21" s="4">
        <v>247740</v>
      </c>
      <c r="T21" s="4">
        <v>1513.71</v>
      </c>
    </row>
    <row r="22" spans="1:20" x14ac:dyDescent="0.4">
      <c r="A22" s="3">
        <v>6700</v>
      </c>
      <c r="B22" s="3">
        <v>622043</v>
      </c>
      <c r="C22" s="3">
        <v>371002</v>
      </c>
      <c r="D22" s="3">
        <v>255</v>
      </c>
      <c r="E22" s="4">
        <v>1429.83</v>
      </c>
      <c r="F22" s="3">
        <v>0</v>
      </c>
      <c r="G22" s="3">
        <v>525397</v>
      </c>
      <c r="H22" s="3">
        <v>341174</v>
      </c>
      <c r="I22" s="3">
        <v>133429</v>
      </c>
      <c r="J22" s="3">
        <v>1501.97</v>
      </c>
      <c r="K22" s="3">
        <v>0</v>
      </c>
      <c r="L22" s="3">
        <v>448972</v>
      </c>
      <c r="M22" s="3">
        <v>538920</v>
      </c>
      <c r="N22" s="3">
        <v>12108</v>
      </c>
      <c r="O22" s="3">
        <v>1276.5899999999999</v>
      </c>
      <c r="P22" s="3">
        <v>0</v>
      </c>
      <c r="Q22" s="4">
        <v>519200</v>
      </c>
      <c r="R22" s="4">
        <v>286846</v>
      </c>
      <c r="S22" s="4">
        <v>193954</v>
      </c>
      <c r="T22" s="4">
        <v>1425.15</v>
      </c>
    </row>
    <row r="23" spans="1:20" x14ac:dyDescent="0.4">
      <c r="A23" s="3">
        <v>6805</v>
      </c>
      <c r="B23" s="3">
        <v>463917</v>
      </c>
      <c r="C23" s="3">
        <v>529120</v>
      </c>
      <c r="D23" s="3">
        <v>158</v>
      </c>
      <c r="E23" s="4">
        <v>1716.21</v>
      </c>
      <c r="F23" s="3">
        <v>0</v>
      </c>
      <c r="G23" s="3">
        <v>522414</v>
      </c>
      <c r="H23" s="3">
        <v>375085</v>
      </c>
      <c r="I23" s="3">
        <v>102501</v>
      </c>
      <c r="J23" s="3">
        <v>1296.43</v>
      </c>
      <c r="K23" s="3">
        <v>0</v>
      </c>
      <c r="L23" s="3">
        <v>524377</v>
      </c>
      <c r="M23" s="3">
        <v>454766</v>
      </c>
      <c r="N23" s="3">
        <v>20857</v>
      </c>
      <c r="O23" s="3">
        <v>1737.4</v>
      </c>
      <c r="P23" s="3">
        <v>0</v>
      </c>
      <c r="Q23" s="4">
        <v>491446</v>
      </c>
      <c r="R23" s="4">
        <v>235847</v>
      </c>
      <c r="S23" s="4">
        <v>272707</v>
      </c>
      <c r="T23" s="4">
        <v>1349.59</v>
      </c>
    </row>
    <row r="24" spans="1:20" x14ac:dyDescent="0.4">
      <c r="A24" s="3">
        <v>6673</v>
      </c>
      <c r="B24" s="3">
        <v>497082</v>
      </c>
      <c r="C24" s="3">
        <v>496204</v>
      </c>
      <c r="D24" s="3">
        <v>41</v>
      </c>
      <c r="E24" s="4">
        <v>1638.77</v>
      </c>
      <c r="F24" s="3">
        <v>0</v>
      </c>
      <c r="G24" s="3">
        <v>476362</v>
      </c>
      <c r="H24" s="3">
        <v>352258</v>
      </c>
      <c r="I24" s="3">
        <v>171380</v>
      </c>
      <c r="J24" s="3">
        <v>1527.54</v>
      </c>
      <c r="K24" s="3">
        <v>0</v>
      </c>
      <c r="L24" s="3">
        <v>424433</v>
      </c>
      <c r="M24" s="3">
        <v>550138</v>
      </c>
      <c r="N24" s="3">
        <v>25429</v>
      </c>
      <c r="O24" s="3">
        <v>1316.55</v>
      </c>
      <c r="P24" s="3">
        <v>0</v>
      </c>
      <c r="Q24" s="4">
        <v>484566</v>
      </c>
      <c r="R24" s="4">
        <v>114595</v>
      </c>
      <c r="S24" s="4">
        <v>400839</v>
      </c>
      <c r="T24" s="4">
        <v>1323.46</v>
      </c>
    </row>
    <row r="26" spans="1:20" x14ac:dyDescent="0.4">
      <c r="A26" s="13" t="s">
        <v>48</v>
      </c>
      <c r="B26" s="13" t="s">
        <v>49</v>
      </c>
      <c r="C26" s="13" t="s">
        <v>50</v>
      </c>
      <c r="D26" s="13" t="s">
        <v>51</v>
      </c>
    </row>
    <row r="27" spans="1:20" x14ac:dyDescent="0.4">
      <c r="A27" s="3">
        <v>25.54</v>
      </c>
      <c r="B27" s="3">
        <v>75.7</v>
      </c>
      <c r="C27" s="3">
        <v>113.64</v>
      </c>
      <c r="D27" s="3">
        <v>84.32</v>
      </c>
    </row>
    <row r="28" spans="1:20" x14ac:dyDescent="0.4">
      <c r="A28" s="3">
        <v>29.71</v>
      </c>
      <c r="B28" s="3">
        <v>74.73</v>
      </c>
      <c r="C28" s="3">
        <v>109.63</v>
      </c>
      <c r="D28" s="3">
        <v>72.28</v>
      </c>
    </row>
    <row r="29" spans="1:20" x14ac:dyDescent="0.4">
      <c r="A29" s="3">
        <v>23.13</v>
      </c>
      <c r="B29" s="3">
        <v>72.099999999999994</v>
      </c>
      <c r="C29" s="3">
        <v>108.47</v>
      </c>
      <c r="D29" s="3">
        <v>83.33</v>
      </c>
    </row>
    <row r="30" spans="1:20" x14ac:dyDescent="0.4">
      <c r="A30" s="3">
        <v>27.61</v>
      </c>
      <c r="B30" s="3">
        <v>65.349999999999994</v>
      </c>
      <c r="C30" s="3">
        <v>108.95</v>
      </c>
      <c r="D30" s="3">
        <v>34.1</v>
      </c>
    </row>
    <row r="31" spans="1:20" x14ac:dyDescent="0.4">
      <c r="A31" s="3">
        <v>31.2</v>
      </c>
      <c r="B31" s="3">
        <v>73.08</v>
      </c>
      <c r="C31" s="3">
        <v>105.47</v>
      </c>
      <c r="D31" s="3">
        <v>82.09</v>
      </c>
    </row>
  </sheetData>
  <mergeCells count="10">
    <mergeCell ref="A17:T17"/>
    <mergeCell ref="A18:E18"/>
    <mergeCell ref="F18:J18"/>
    <mergeCell ref="K18:O18"/>
    <mergeCell ref="P18:T18"/>
    <mergeCell ref="A1:T1"/>
    <mergeCell ref="A2:E2"/>
    <mergeCell ref="F2:J2"/>
    <mergeCell ref="K2:O2"/>
    <mergeCell ref="P2:T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CE578-C7D1-4FF4-969C-7DC6F6D8529A}">
  <dimension ref="A1:T31"/>
  <sheetViews>
    <sheetView zoomScale="82" workbookViewId="0">
      <selection activeCell="Q28" sqref="Q28"/>
    </sheetView>
  </sheetViews>
  <sheetFormatPr defaultRowHeight="14.6" x14ac:dyDescent="0.4"/>
  <cols>
    <col min="5" max="5" width="11.23046875" bestFit="1" customWidth="1"/>
    <col min="10" max="10" width="11.23046875" bestFit="1" customWidth="1"/>
  </cols>
  <sheetData>
    <row r="1" spans="1:20" x14ac:dyDescent="0.4">
      <c r="A1" s="20" t="s">
        <v>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 x14ac:dyDescent="0.4">
      <c r="A2" s="20" t="s">
        <v>2</v>
      </c>
      <c r="B2" s="20"/>
      <c r="C2" s="20"/>
      <c r="D2" s="20"/>
      <c r="E2" s="20"/>
      <c r="F2" s="20" t="s">
        <v>0</v>
      </c>
      <c r="G2" s="20"/>
      <c r="H2" s="20"/>
      <c r="I2" s="20"/>
      <c r="J2" s="20"/>
      <c r="K2" s="20" t="s">
        <v>3</v>
      </c>
      <c r="L2" s="20"/>
      <c r="M2" s="20"/>
      <c r="N2" s="20"/>
      <c r="O2" s="20"/>
      <c r="P2" s="20" t="s">
        <v>4</v>
      </c>
      <c r="Q2" s="20"/>
      <c r="R2" s="20"/>
      <c r="S2" s="20"/>
      <c r="T2" s="20"/>
    </row>
    <row r="3" spans="1:20" x14ac:dyDescent="0.4">
      <c r="A3" s="21" t="s">
        <v>11</v>
      </c>
      <c r="B3" s="21" t="s">
        <v>12</v>
      </c>
      <c r="C3" s="21" t="s">
        <v>13</v>
      </c>
      <c r="D3" s="21" t="s">
        <v>14</v>
      </c>
      <c r="E3" s="21" t="s">
        <v>15</v>
      </c>
      <c r="F3" s="21" t="s">
        <v>11</v>
      </c>
      <c r="G3" s="21" t="s">
        <v>12</v>
      </c>
      <c r="H3" s="21" t="s">
        <v>13</v>
      </c>
      <c r="I3" s="21" t="s">
        <v>14</v>
      </c>
      <c r="J3" s="21" t="s">
        <v>15</v>
      </c>
      <c r="K3" s="21" t="s">
        <v>11</v>
      </c>
      <c r="L3" s="21" t="s">
        <v>12</v>
      </c>
      <c r="M3" s="21" t="s">
        <v>13</v>
      </c>
      <c r="N3" s="21" t="s">
        <v>14</v>
      </c>
      <c r="O3" s="21" t="s">
        <v>15</v>
      </c>
      <c r="P3" s="21" t="s">
        <v>11</v>
      </c>
      <c r="Q3" s="21" t="s">
        <v>12</v>
      </c>
      <c r="R3" s="21" t="s">
        <v>13</v>
      </c>
      <c r="S3" s="21" t="s">
        <v>14</v>
      </c>
      <c r="T3" s="21" t="s">
        <v>15</v>
      </c>
    </row>
    <row r="4" spans="1:20" x14ac:dyDescent="0.4">
      <c r="A4" s="4">
        <v>29</v>
      </c>
      <c r="B4" s="4">
        <v>494902</v>
      </c>
      <c r="C4" s="4">
        <v>505059</v>
      </c>
      <c r="D4" s="4">
        <v>0</v>
      </c>
      <c r="E4" s="4" t="s">
        <v>6</v>
      </c>
      <c r="F4" s="4">
        <v>0</v>
      </c>
      <c r="G4" s="4">
        <v>500147</v>
      </c>
      <c r="H4" s="4">
        <v>499721</v>
      </c>
      <c r="I4" s="4">
        <v>132</v>
      </c>
      <c r="J4" s="4" t="s">
        <v>17</v>
      </c>
      <c r="K4" s="4">
        <v>0</v>
      </c>
      <c r="L4" s="4">
        <v>495498</v>
      </c>
      <c r="M4" s="4">
        <v>504474</v>
      </c>
      <c r="N4" s="4">
        <v>28</v>
      </c>
      <c r="O4" s="4" t="s">
        <v>24</v>
      </c>
      <c r="P4" s="4">
        <v>0</v>
      </c>
      <c r="Q4" s="4">
        <v>504611</v>
      </c>
      <c r="R4" s="4">
        <v>495383</v>
      </c>
      <c r="S4" s="4">
        <v>6</v>
      </c>
      <c r="T4" s="4" t="s">
        <v>32</v>
      </c>
    </row>
    <row r="5" spans="1:20" x14ac:dyDescent="0.4">
      <c r="A5" s="3">
        <v>17</v>
      </c>
      <c r="B5" s="3">
        <v>503209</v>
      </c>
      <c r="C5" s="3">
        <v>496774</v>
      </c>
      <c r="D5" s="3">
        <v>0</v>
      </c>
      <c r="E5" s="4" t="s">
        <v>7</v>
      </c>
      <c r="F5" s="3">
        <v>0</v>
      </c>
      <c r="G5" s="3">
        <v>504242</v>
      </c>
      <c r="H5" s="3">
        <v>495376</v>
      </c>
      <c r="I5" s="3">
        <v>382</v>
      </c>
      <c r="J5" s="4" t="s">
        <v>18</v>
      </c>
      <c r="K5" s="3">
        <v>0</v>
      </c>
      <c r="L5" s="3">
        <v>492345</v>
      </c>
      <c r="M5" s="3">
        <v>507644</v>
      </c>
      <c r="N5" s="3">
        <v>11</v>
      </c>
      <c r="O5" s="4" t="s">
        <v>25</v>
      </c>
      <c r="P5" s="3">
        <v>0</v>
      </c>
      <c r="Q5" s="4">
        <v>498973</v>
      </c>
      <c r="R5" s="4">
        <v>501013</v>
      </c>
      <c r="S5" s="4">
        <v>14</v>
      </c>
      <c r="T5" s="4" t="s">
        <v>35</v>
      </c>
    </row>
    <row r="6" spans="1:20" x14ac:dyDescent="0.4">
      <c r="A6" s="3">
        <v>26</v>
      </c>
      <c r="B6" s="3">
        <v>502766</v>
      </c>
      <c r="C6" s="3">
        <v>497208</v>
      </c>
      <c r="D6" s="3">
        <v>0</v>
      </c>
      <c r="E6" s="4" t="s">
        <v>8</v>
      </c>
      <c r="F6" s="3">
        <v>0</v>
      </c>
      <c r="G6" s="3">
        <v>499847</v>
      </c>
      <c r="H6" s="3">
        <v>499946</v>
      </c>
      <c r="I6" s="3">
        <v>207</v>
      </c>
      <c r="J6" s="4" t="s">
        <v>19</v>
      </c>
      <c r="K6" s="3">
        <v>0</v>
      </c>
      <c r="L6" s="3">
        <v>499087</v>
      </c>
      <c r="M6" s="3">
        <v>500896</v>
      </c>
      <c r="N6" s="3">
        <v>17</v>
      </c>
      <c r="O6" s="4" t="s">
        <v>28</v>
      </c>
      <c r="P6" s="3">
        <v>0</v>
      </c>
      <c r="Q6" s="3">
        <v>490310</v>
      </c>
      <c r="R6" s="3">
        <v>509654</v>
      </c>
      <c r="S6" s="3">
        <v>36</v>
      </c>
      <c r="T6" s="4" t="s">
        <v>36</v>
      </c>
    </row>
    <row r="7" spans="1:20" x14ac:dyDescent="0.4">
      <c r="A7" s="3">
        <v>18</v>
      </c>
      <c r="B7" s="3">
        <v>500600</v>
      </c>
      <c r="C7" s="3">
        <v>499382</v>
      </c>
      <c r="D7" s="3">
        <v>0</v>
      </c>
      <c r="E7" s="4" t="s">
        <v>9</v>
      </c>
      <c r="F7" s="3">
        <v>0</v>
      </c>
      <c r="G7" s="3">
        <v>502904</v>
      </c>
      <c r="H7" s="3">
        <v>496947</v>
      </c>
      <c r="I7" s="3">
        <v>149</v>
      </c>
      <c r="J7" s="4" t="s">
        <v>20</v>
      </c>
      <c r="K7" s="3">
        <v>0</v>
      </c>
      <c r="L7" s="3">
        <v>502026</v>
      </c>
      <c r="M7" s="3">
        <v>497925</v>
      </c>
      <c r="N7" s="3">
        <v>49</v>
      </c>
      <c r="O7" s="4" t="s">
        <v>29</v>
      </c>
      <c r="P7" s="3">
        <v>0</v>
      </c>
      <c r="Q7" s="3">
        <v>498870</v>
      </c>
      <c r="R7" s="3">
        <v>501106</v>
      </c>
      <c r="S7" s="3">
        <v>24</v>
      </c>
      <c r="T7" s="4" t="s">
        <v>39</v>
      </c>
    </row>
    <row r="8" spans="1:20" x14ac:dyDescent="0.4">
      <c r="A8" s="3">
        <v>18</v>
      </c>
      <c r="B8" s="3">
        <v>504489</v>
      </c>
      <c r="C8" s="3">
        <v>495493</v>
      </c>
      <c r="D8" s="3">
        <v>0</v>
      </c>
      <c r="E8" s="4" t="s">
        <v>10</v>
      </c>
      <c r="F8" s="3">
        <v>0</v>
      </c>
      <c r="G8" s="3">
        <v>501958</v>
      </c>
      <c r="H8" s="3">
        <v>497891</v>
      </c>
      <c r="I8" s="3">
        <v>151</v>
      </c>
      <c r="J8" s="4" t="s">
        <v>21</v>
      </c>
      <c r="K8" s="3">
        <v>0</v>
      </c>
      <c r="L8" s="3">
        <v>498289</v>
      </c>
      <c r="M8" s="3">
        <v>501646</v>
      </c>
      <c r="N8" s="3">
        <v>65</v>
      </c>
      <c r="O8" s="4" t="s">
        <v>31</v>
      </c>
      <c r="P8" s="3">
        <v>0</v>
      </c>
      <c r="Q8" s="3">
        <v>498393</v>
      </c>
      <c r="R8" s="3">
        <v>501589</v>
      </c>
      <c r="S8" s="3">
        <v>18</v>
      </c>
      <c r="T8" s="4" t="s">
        <v>40</v>
      </c>
    </row>
    <row r="9" spans="1:20" x14ac:dyDescent="0.4">
      <c r="A9" s="1"/>
      <c r="B9" s="1"/>
      <c r="C9" s="1"/>
      <c r="D9" s="1"/>
    </row>
    <row r="10" spans="1:20" x14ac:dyDescent="0.4">
      <c r="A10" s="22" t="s">
        <v>48</v>
      </c>
      <c r="B10" s="22" t="s">
        <v>49</v>
      </c>
      <c r="C10" s="22" t="s">
        <v>50</v>
      </c>
      <c r="D10" s="22" t="s">
        <v>51</v>
      </c>
    </row>
    <row r="11" spans="1:20" x14ac:dyDescent="0.4">
      <c r="A11" s="3">
        <v>5.99</v>
      </c>
      <c r="B11" s="3">
        <v>36.020000000000003</v>
      </c>
      <c r="C11" s="3">
        <v>36.979999999999997</v>
      </c>
      <c r="D11" s="3">
        <v>35.54</v>
      </c>
    </row>
    <row r="12" spans="1:20" x14ac:dyDescent="0.4">
      <c r="A12" s="3">
        <v>4.38</v>
      </c>
      <c r="B12" s="3">
        <v>34.950000000000003</v>
      </c>
      <c r="C12" s="3">
        <v>36.090000000000003</v>
      </c>
      <c r="D12" s="3">
        <v>32.68</v>
      </c>
    </row>
    <row r="13" spans="1:20" x14ac:dyDescent="0.4">
      <c r="A13" s="3">
        <v>4.29</v>
      </c>
      <c r="B13" s="3">
        <v>34.840000000000003</v>
      </c>
      <c r="C13" s="3">
        <v>35.85</v>
      </c>
      <c r="D13" s="3">
        <v>33.369999999999997</v>
      </c>
    </row>
    <row r="14" spans="1:20" x14ac:dyDescent="0.4">
      <c r="A14" s="3">
        <v>4.28</v>
      </c>
      <c r="B14" s="3">
        <v>35.28</v>
      </c>
      <c r="C14" s="3">
        <v>35.78</v>
      </c>
      <c r="D14" s="3">
        <v>33.729999999999997</v>
      </c>
    </row>
    <row r="15" spans="1:20" x14ac:dyDescent="0.4">
      <c r="A15" s="3">
        <v>4.51</v>
      </c>
      <c r="B15" s="3">
        <v>36.450000000000003</v>
      </c>
      <c r="C15" s="3">
        <v>36.39</v>
      </c>
      <c r="D15" s="3">
        <v>32.159999999999997</v>
      </c>
    </row>
    <row r="17" spans="1:20" x14ac:dyDescent="0.4">
      <c r="A17" s="20" t="s">
        <v>76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spans="1:20" x14ac:dyDescent="0.4">
      <c r="A18" s="20" t="s">
        <v>2</v>
      </c>
      <c r="B18" s="20"/>
      <c r="C18" s="20"/>
      <c r="D18" s="20"/>
      <c r="E18" s="20"/>
      <c r="F18" s="20" t="s">
        <v>0</v>
      </c>
      <c r="G18" s="20"/>
      <c r="H18" s="20"/>
      <c r="I18" s="20"/>
      <c r="J18" s="20"/>
      <c r="K18" s="20" t="s">
        <v>3</v>
      </c>
      <c r="L18" s="20"/>
      <c r="M18" s="20"/>
      <c r="N18" s="20"/>
      <c r="O18" s="20"/>
      <c r="P18" s="20" t="s">
        <v>4</v>
      </c>
      <c r="Q18" s="20"/>
      <c r="R18" s="20"/>
      <c r="S18" s="20"/>
      <c r="T18" s="20"/>
    </row>
    <row r="19" spans="1:20" x14ac:dyDescent="0.4">
      <c r="A19" s="21" t="s">
        <v>11</v>
      </c>
      <c r="B19" s="21" t="s">
        <v>12</v>
      </c>
      <c r="C19" s="21" t="s">
        <v>13</v>
      </c>
      <c r="D19" s="21" t="s">
        <v>14</v>
      </c>
      <c r="E19" s="21" t="s">
        <v>15</v>
      </c>
      <c r="F19" s="21" t="s">
        <v>11</v>
      </c>
      <c r="G19" s="21" t="s">
        <v>12</v>
      </c>
      <c r="H19" s="21" t="s">
        <v>13</v>
      </c>
      <c r="I19" s="21" t="s">
        <v>14</v>
      </c>
      <c r="J19" s="21" t="s">
        <v>15</v>
      </c>
      <c r="K19" s="21" t="s">
        <v>11</v>
      </c>
      <c r="L19" s="21" t="s">
        <v>12</v>
      </c>
      <c r="M19" s="21" t="s">
        <v>13</v>
      </c>
      <c r="N19" s="21" t="s">
        <v>14</v>
      </c>
      <c r="O19" s="21" t="s">
        <v>15</v>
      </c>
      <c r="P19" s="21" t="s">
        <v>11</v>
      </c>
      <c r="Q19" s="21" t="s">
        <v>12</v>
      </c>
      <c r="R19" s="21" t="s">
        <v>13</v>
      </c>
      <c r="S19" s="21" t="s">
        <v>14</v>
      </c>
      <c r="T19" s="21" t="s">
        <v>15</v>
      </c>
    </row>
    <row r="20" spans="1:20" x14ac:dyDescent="0.4">
      <c r="A20" s="3">
        <v>55089</v>
      </c>
      <c r="B20" s="3">
        <v>404679</v>
      </c>
      <c r="C20" s="3">
        <v>540232</v>
      </c>
      <c r="D20" s="3">
        <v>0</v>
      </c>
      <c r="E20" s="4">
        <v>982.08</v>
      </c>
      <c r="F20" s="3">
        <v>0</v>
      </c>
      <c r="G20" s="3">
        <v>499988</v>
      </c>
      <c r="H20" s="3">
        <v>497189</v>
      </c>
      <c r="I20" s="3">
        <v>2823</v>
      </c>
      <c r="J20" s="4">
        <v>1662.4</v>
      </c>
      <c r="K20" s="3">
        <v>0</v>
      </c>
      <c r="L20" s="3">
        <v>488061</v>
      </c>
      <c r="M20" s="3">
        <v>490622</v>
      </c>
      <c r="N20" s="3">
        <v>21317</v>
      </c>
      <c r="O20" s="4">
        <v>950.86</v>
      </c>
      <c r="P20" s="3">
        <v>0</v>
      </c>
      <c r="Q20" s="3">
        <v>424770</v>
      </c>
      <c r="R20" s="3">
        <v>403656</v>
      </c>
      <c r="S20" s="3">
        <v>171574</v>
      </c>
      <c r="T20" s="4">
        <v>1967.54</v>
      </c>
    </row>
    <row r="21" spans="1:20" x14ac:dyDescent="0.4">
      <c r="A21" s="3">
        <v>47310</v>
      </c>
      <c r="B21" s="3">
        <v>472877</v>
      </c>
      <c r="C21" s="3">
        <v>479813</v>
      </c>
      <c r="D21" s="3">
        <v>0</v>
      </c>
      <c r="E21" s="4">
        <v>875.37</v>
      </c>
      <c r="F21" s="3">
        <v>0</v>
      </c>
      <c r="G21" s="3">
        <v>524953</v>
      </c>
      <c r="H21" s="3">
        <v>466213</v>
      </c>
      <c r="I21" s="3">
        <v>8834</v>
      </c>
      <c r="J21" s="4">
        <v>922.8</v>
      </c>
      <c r="K21" s="3">
        <v>0</v>
      </c>
      <c r="L21" s="3">
        <v>523022</v>
      </c>
      <c r="M21" s="3">
        <v>463767</v>
      </c>
      <c r="N21" s="3">
        <v>13211</v>
      </c>
      <c r="O21" s="4">
        <v>1728.58</v>
      </c>
      <c r="P21" s="3">
        <v>0</v>
      </c>
      <c r="Q21" s="4">
        <v>458327</v>
      </c>
      <c r="R21" s="4">
        <v>388171</v>
      </c>
      <c r="S21" s="4">
        <v>153502</v>
      </c>
      <c r="T21" s="4">
        <v>1076.17</v>
      </c>
    </row>
    <row r="22" spans="1:20" x14ac:dyDescent="0.4">
      <c r="A22" s="3">
        <v>59911</v>
      </c>
      <c r="B22" s="3">
        <v>468063</v>
      </c>
      <c r="C22" s="3">
        <v>472026</v>
      </c>
      <c r="D22" s="3">
        <v>0</v>
      </c>
      <c r="E22" s="4">
        <v>860.69</v>
      </c>
      <c r="F22" s="3">
        <v>0</v>
      </c>
      <c r="G22" s="3">
        <v>527763</v>
      </c>
      <c r="H22" s="3">
        <v>468799</v>
      </c>
      <c r="I22" s="4">
        <v>3438</v>
      </c>
      <c r="J22" s="4">
        <v>853.34</v>
      </c>
      <c r="K22" s="3">
        <v>0</v>
      </c>
      <c r="L22" s="3">
        <v>483246</v>
      </c>
      <c r="M22" s="3">
        <v>497318</v>
      </c>
      <c r="N22" s="3">
        <v>19436</v>
      </c>
      <c r="O22" s="4">
        <v>893.06</v>
      </c>
      <c r="P22" s="3">
        <v>0</v>
      </c>
      <c r="Q22" s="4">
        <v>458530</v>
      </c>
      <c r="R22" s="4">
        <v>381297</v>
      </c>
      <c r="S22" s="4">
        <v>160173</v>
      </c>
      <c r="T22" s="4">
        <v>1024.69</v>
      </c>
    </row>
    <row r="23" spans="1:20" x14ac:dyDescent="0.4">
      <c r="A23" s="3">
        <v>68277</v>
      </c>
      <c r="B23" s="3">
        <v>454483</v>
      </c>
      <c r="C23" s="3">
        <v>477232</v>
      </c>
      <c r="D23" s="3">
        <v>8</v>
      </c>
      <c r="E23" s="4">
        <v>1188.26</v>
      </c>
      <c r="F23" s="3">
        <v>0</v>
      </c>
      <c r="G23" s="3">
        <v>501640</v>
      </c>
      <c r="H23" s="3">
        <v>487449</v>
      </c>
      <c r="I23" s="4">
        <v>10911</v>
      </c>
      <c r="J23" s="4">
        <v>978.28</v>
      </c>
      <c r="K23" s="3">
        <v>0</v>
      </c>
      <c r="L23" s="3">
        <v>492435</v>
      </c>
      <c r="M23" s="3">
        <v>486359</v>
      </c>
      <c r="N23" s="3">
        <v>21206</v>
      </c>
      <c r="O23" s="4">
        <v>861.58</v>
      </c>
      <c r="P23" s="3">
        <v>0</v>
      </c>
      <c r="Q23" s="4">
        <v>498054</v>
      </c>
      <c r="R23" s="4">
        <v>336377</v>
      </c>
      <c r="S23" s="4">
        <v>165569</v>
      </c>
      <c r="T23" s="4">
        <v>1164.1099999999999</v>
      </c>
    </row>
    <row r="24" spans="1:20" x14ac:dyDescent="0.4">
      <c r="A24" s="3">
        <v>67262</v>
      </c>
      <c r="B24" s="3">
        <v>464443</v>
      </c>
      <c r="C24" s="3">
        <v>468295</v>
      </c>
      <c r="D24" s="3">
        <v>0</v>
      </c>
      <c r="E24" s="4">
        <v>821.12</v>
      </c>
      <c r="F24" s="3">
        <v>0</v>
      </c>
      <c r="G24" s="3">
        <v>527532</v>
      </c>
      <c r="H24" s="3">
        <v>468845</v>
      </c>
      <c r="I24" s="4">
        <v>3623</v>
      </c>
      <c r="J24" s="4">
        <v>844.86</v>
      </c>
      <c r="K24" s="3">
        <v>0</v>
      </c>
      <c r="L24" s="3">
        <v>495781</v>
      </c>
      <c r="M24" s="3">
        <v>484400</v>
      </c>
      <c r="N24" s="3">
        <v>19819</v>
      </c>
      <c r="O24" s="4">
        <v>912.02</v>
      </c>
      <c r="P24" s="3">
        <v>0</v>
      </c>
      <c r="Q24" s="4">
        <v>466471</v>
      </c>
      <c r="R24" s="4">
        <v>366390</v>
      </c>
      <c r="S24" s="4">
        <v>167139</v>
      </c>
      <c r="T24" s="4">
        <v>1071.76</v>
      </c>
    </row>
    <row r="26" spans="1:20" x14ac:dyDescent="0.4">
      <c r="A26" s="22" t="s">
        <v>48</v>
      </c>
      <c r="B26" s="22" t="s">
        <v>49</v>
      </c>
      <c r="C26" s="22" t="s">
        <v>50</v>
      </c>
      <c r="D26" s="22" t="s">
        <v>51</v>
      </c>
    </row>
    <row r="27" spans="1:20" x14ac:dyDescent="0.4">
      <c r="A27" s="3">
        <v>4.4800000000000004</v>
      </c>
      <c r="B27" s="3">
        <v>53.1</v>
      </c>
      <c r="C27" s="3">
        <v>52.69</v>
      </c>
      <c r="D27" s="3">
        <v>71.25</v>
      </c>
    </row>
    <row r="28" spans="1:20" x14ac:dyDescent="0.4">
      <c r="A28" s="3">
        <v>3.17</v>
      </c>
      <c r="B28" s="3">
        <v>45.48</v>
      </c>
      <c r="C28" s="3">
        <v>52.18</v>
      </c>
      <c r="D28" s="3">
        <v>78.930000000000007</v>
      </c>
    </row>
    <row r="29" spans="1:20" x14ac:dyDescent="0.4">
      <c r="A29" s="3">
        <v>4.3899999999999997</v>
      </c>
      <c r="B29" s="3">
        <v>45.88</v>
      </c>
      <c r="C29" s="3">
        <v>54.91</v>
      </c>
      <c r="D29" s="3">
        <v>79.77</v>
      </c>
    </row>
    <row r="30" spans="1:20" x14ac:dyDescent="0.4">
      <c r="A30" s="3">
        <v>4.79</v>
      </c>
      <c r="B30" s="3">
        <v>47.49</v>
      </c>
      <c r="C30" s="3">
        <v>45.57</v>
      </c>
      <c r="D30" s="3">
        <v>74.12</v>
      </c>
    </row>
    <row r="31" spans="1:20" x14ac:dyDescent="0.4">
      <c r="A31" s="3">
        <v>4.04</v>
      </c>
      <c r="B31" s="3">
        <v>46.88</v>
      </c>
      <c r="C31" s="3">
        <v>57.96</v>
      </c>
      <c r="D31" s="3">
        <v>72.53</v>
      </c>
    </row>
  </sheetData>
  <mergeCells count="10">
    <mergeCell ref="A17:T17"/>
    <mergeCell ref="A18:E18"/>
    <mergeCell ref="F18:J18"/>
    <mergeCell ref="K18:O18"/>
    <mergeCell ref="P18:T18"/>
    <mergeCell ref="A2:E2"/>
    <mergeCell ref="F2:J2"/>
    <mergeCell ref="K2:O2"/>
    <mergeCell ref="P2:T2"/>
    <mergeCell ref="A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Podsumowanie</vt:lpstr>
      <vt:lpstr>ARM</vt:lpstr>
      <vt:lpstr>Intel</vt:lpstr>
      <vt:lpstr>Slurm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Krzyska</dc:creator>
  <cp:lastModifiedBy>Filip Krzyska</cp:lastModifiedBy>
  <dcterms:created xsi:type="dcterms:W3CDTF">2026-03-30T12:18:30Z</dcterms:created>
  <dcterms:modified xsi:type="dcterms:W3CDTF">2026-03-31T16:41:40Z</dcterms:modified>
</cp:coreProperties>
</file>